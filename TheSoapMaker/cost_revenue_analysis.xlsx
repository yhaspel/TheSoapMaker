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ost Breakdown" sheetId="2" state="visible" r:id="rId4"/>
    <sheet name="Break-Even Analysis" sheetId="3" state="visible" r:id="rId5"/>
    <sheet name="3-Year Projection" sheetId="4" state="visible" r:id="rId6"/>
    <sheet name="Pricing Strateg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<sst xmlns="http://schemas.openxmlformats.org/spreadsheetml/2006/main" count="296" uniqueCount="243">
  <si>
    <t xml:space="preserve">THE SOAP MAKER — MODEL ASSUMPTIONS</t>
  </si>
  <si>
    <t xml:space="preserve">Blue cells = editable inputs  |  Yellow bg = key assumptions  |  Black text = formulas  |  Green text = cross-sheet links</t>
  </si>
  <si>
    <t xml:space="preserve">❶  PRICING</t>
  </si>
  <si>
    <t xml:space="preserve">Premium Monthly Price</t>
  </si>
  <si>
    <t xml:space="preserve">Source: Project Plan §10</t>
  </si>
  <si>
    <t xml:space="preserve">Premium Annual Price</t>
  </si>
  <si>
    <t xml:space="preserve">Source: Project Plan §10 — "Save 33%" badge</t>
  </si>
  <si>
    <t xml:space="preserve">Annual Plan % of Premium Subscribers</t>
  </si>
  <si>
    <t xml:space="preserve">Typical consumer SaaS mix; annual holders have lower churn</t>
  </si>
  <si>
    <t xml:space="preserve">Stripe Variable Fee</t>
  </si>
  <si>
    <t xml:space="preserve">Source: stripe.com/pricing — standard card rate 2.9%</t>
  </si>
  <si>
    <t xml:space="preserve">Stripe Fixed Fee per Transaction</t>
  </si>
  <si>
    <t xml:space="preserve">Source: stripe.com/pricing — $0.30/transaction</t>
  </si>
  <si>
    <t xml:space="preserve">❷  AD REVENUE</t>
  </si>
  <si>
    <t xml:space="preserve">AdSense RPM (Revenue per 1,000 Impressions)</t>
  </si>
  <si>
    <t xml:space="preserve">Hobby/DIY niche typical range $1.50–$4.00. Conservative at $2.50</t>
  </si>
  <si>
    <t xml:space="preserve">Page Views per User per Session</t>
  </si>
  <si>
    <t xml:space="preserve">Landing → recipe list → 2 recipe details → profile</t>
  </si>
  <si>
    <t xml:space="preserve">Sessions per Free User per Month</t>
  </si>
  <si>
    <t xml:space="preserve">Hobby app — not daily use; ~3 visits/mo realistic</t>
  </si>
  <si>
    <t xml:space="preserve">Ad Impressions per Page View</t>
  </si>
  <si>
    <t xml:space="preserve">Avg of 3 slots (leaderboard, rectangle, in-feed) — not all on every page</t>
  </si>
  <si>
    <t xml:space="preserve">❸  USER GROWTH &amp; CONVERSION</t>
  </si>
  <si>
    <t xml:space="preserve">Free-to-Premium Conversion Rate (of new signups)</t>
  </si>
  <si>
    <t xml:space="preserve">7-day trial drives conversion; typical consumer SaaS range 2–5%</t>
  </si>
  <si>
    <t xml:space="preserve">Monthly Premium Subscriber Churn Rate</t>
  </si>
  <si>
    <t xml:space="preserve">Typical hobby app churn ~5%/mo; annual holders churn less</t>
  </si>
  <si>
    <t xml:space="preserve">Active User Rate (% of registered, monthly)</t>
  </si>
  <si>
    <t xml:space="preserve">70% of registered users remain monthly active (hobby app estimate)</t>
  </si>
  <si>
    <t xml:space="preserve">❹  INFRASTRUCTURE COSTS (MONTHLY)</t>
  </si>
  <si>
    <t xml:space="preserve">Startup Phase — Months 1–3 (all free tiers)</t>
  </si>
  <si>
    <t xml:space="preserve">Domain only (~$1/mo). Vercel/Render/Cloudinary/DB all on free tiers</t>
  </si>
  <si>
    <t xml:space="preserve">Growth Phase — Months 4–24</t>
  </si>
  <si>
    <t xml:space="preserve">Render Web Service $7 + Render PostgreSQL $7 + Domain $1 = $15/mo</t>
  </si>
  <si>
    <t xml:space="preserve">Scale Phase — Months 25–36</t>
  </si>
  <si>
    <t xml:space="preserve">Growth tier + Render compute upgrade ~+$15 as traffic grows</t>
  </si>
  <si>
    <t xml:space="preserve">❺  DERIVED VALUES (auto-calculated — do not edit)</t>
  </si>
  <si>
    <t xml:space="preserve">Net Revenue — Monthly Subscriber (after Stripe)</t>
  </si>
  <si>
    <t xml:space="preserve">Monthly price × (1−Stripe%) − fixed fee</t>
  </si>
  <si>
    <t xml:space="preserve">Net Revenue — Annual Subscriber (per month)</t>
  </si>
  <si>
    <t xml:space="preserve">Annual price net of Stripe fees ÷ 12</t>
  </si>
  <si>
    <t xml:space="preserve">Blended Net Revenue per Premium User/mo</t>
  </si>
  <si>
    <t xml:space="preserve">70% monthly × net monthly rev + 30% annual × net annual/mo</t>
  </si>
  <si>
    <t xml:space="preserve">Ad Revenue per Free Active User per Month</t>
  </si>
  <si>
    <t xml:space="preserve">Pages/session × sessions/mo × impressions/page ÷ 1,000 × RPM</t>
  </si>
  <si>
    <t xml:space="preserve">THE SOAP MAKER — INFRASTRUCTURE COST BREAKDOWN</t>
  </si>
  <si>
    <t xml:space="preserve">Monthly cost per service across three operational phases. Blue = inputs; totals are Excel formulas.</t>
  </si>
  <si>
    <t xml:space="preserve">Service</t>
  </si>
  <si>
    <t xml:space="preserve">Phase 1: Launch
(Months 1–3)</t>
  </si>
  <si>
    <t xml:space="preserve">Phase 2: Growth
(Months 4–24)</t>
  </si>
  <si>
    <t xml:space="preserve">Phase 3: Scale
(Months 25–36)</t>
  </si>
  <si>
    <t xml:space="preserve">Notes</t>
  </si>
  <si>
    <t xml:space="preserve">Vercel  (Frontend Hosting)</t>
  </si>
  <si>
    <t xml:space="preserve">Free tier handles most traffic; Pro ($20/mo) only if hitting 100GB/mo bandwidth</t>
  </si>
  <si>
    <t xml:space="preserve">Render Web Service  (Django/API)</t>
  </si>
  <si>
    <t xml:space="preserve">Free tier spins down after 15 min; Starter ($7/mo) for always-on service</t>
  </si>
  <si>
    <t xml:space="preserve">Render PostgreSQL</t>
  </si>
  <si>
    <t xml:space="preserve">Free tier: 90-day limit; Starter ($7/mo) for persistent DB. Budget from day 1</t>
  </si>
  <si>
    <t xml:space="preserve">Cloudinary  (Media/Images)</t>
  </si>
  <si>
    <t xml:space="preserve">Free tier: 25 GB storage + 25 GB BW/mo — sufficient through Year 3 easily</t>
  </si>
  <si>
    <t xml:space="preserve">Custom Domain  (thesoapmaker.com)</t>
  </si>
  <si>
    <t xml:space="preserve">~$12/yr ≈ $1/mo via Namecheap or Cloudflare Registrar</t>
  </si>
  <si>
    <t xml:space="preserve">Transactional Email</t>
  </si>
  <si>
    <t xml:space="preserve">SendGrid free tier: 100 emails/day — sufficient for auth/verification emails</t>
  </si>
  <si>
    <t xml:space="preserve">Google AdSense</t>
  </si>
  <si>
    <t xml:space="preserve">Free to join; Google pays you — no monthly cost</t>
  </si>
  <si>
    <t xml:space="preserve">Stripe  (Payments)</t>
  </si>
  <si>
    <t xml:space="preserve">No monthly fee. 2.9% + $0.30 per transaction only</t>
  </si>
  <si>
    <t xml:space="preserve">Google Analytics 4</t>
  </si>
  <si>
    <t xml:space="preserve">Free</t>
  </si>
  <si>
    <t xml:space="preserve">GitHub  (Repo + CI/CD)</t>
  </si>
  <si>
    <t xml:space="preserve">Free for public repos; 2,000 Actions min/mo free on free plan</t>
  </si>
  <si>
    <t xml:space="preserve">Render Scale Upgrade</t>
  </si>
  <si>
    <t xml:space="preserve">Additional compute when traffic grows beyond Starter; upgrade as needed</t>
  </si>
  <si>
    <t xml:space="preserve">TOTAL MONTHLY INFRASTRUCTURE COST</t>
  </si>
  <si>
    <t xml:space="preserve">⚠  Key Scaling Triggers — When to Upgrade</t>
  </si>
  <si>
    <t xml:space="preserve">• Render Free → Starter  ($7/mo)</t>
  </si>
  <si>
    <t xml:space="preserve">At launch — eliminate the 15-min spin-down cold start from day one</t>
  </si>
  <si>
    <t xml:space="preserve">• Render DB Free → Paid  ($7/mo)</t>
  </si>
  <si>
    <t xml:space="preserve">After 90 days when free DB expires; plan budget for this from the start</t>
  </si>
  <si>
    <t xml:space="preserve">• Vercel Free → Pro  ($20/mo)</t>
  </si>
  <si>
    <t xml:space="preserve">Only needed at ~50,000+ MAU when exceeding 100 GB/mo bandwidth</t>
  </si>
  <si>
    <t xml:space="preserve">• Cloudinary Free → Paid  ($89/mo)</t>
  </si>
  <si>
    <t xml:space="preserve">When image storage exceeds 25 GB — roughly 5,000+ image-rich recipes uploaded</t>
  </si>
  <si>
    <t xml:space="preserve">• Render Starter → Standard  ($25/mo)</t>
  </si>
  <si>
    <t xml:space="preserve">When backend response times degrade under sustained load — monitor in GA4/Render dashboard</t>
  </si>
  <si>
    <t xml:space="preserve">THE SOAP MAKER — BREAK-EVEN ANALYSIS</t>
  </si>
  <si>
    <t xml:space="preserve">Three scenarios: (A) ad revenue only  |  (B) premium subscribers only  |  (C) blended model (realistic)</t>
  </si>
  <si>
    <t xml:space="preserve">Monthly Infrastructure Cost Reference  (Growth Phase)</t>
  </si>
  <si>
    <t xml:space="preserve">Growth Phase Monthly Cost (Months 4–24)</t>
  </si>
  <si>
    <t xml:space="preserve">Break-even target used in all scenarios below</t>
  </si>
  <si>
    <t xml:space="preserve">SCENARIO A — Break-Even with Ad Revenue Only  (no premium subscribers)</t>
  </si>
  <si>
    <t xml:space="preserve">Monthly Cost Target</t>
  </si>
  <si>
    <t xml:space="preserve">Break-even target from Growth Phase</t>
  </si>
  <si>
    <t xml:space="preserve">Ad Revenue per Free Active User/mo</t>
  </si>
  <si>
    <t xml:space="preserve">Pulled from Assumptions (RPM × pages × sessions × impressions)</t>
  </si>
  <si>
    <t xml:space="preserve">Free Active Users Needed to Break Even</t>
  </si>
  <si>
    <t xml:space="preserve">Monthly cost ÷ ad revenue per user</t>
  </si>
  <si>
    <t xml:space="preserve">Registered Users Needed  (÷ 70% active rate)</t>
  </si>
  <si>
    <t xml:space="preserve">Active users needed ÷ active rate</t>
  </si>
  <si>
    <t xml:space="preserve">Estimated Timeline</t>
  </si>
  <si>
    <t xml:space="preserve">Month 2–3</t>
  </si>
  <si>
    <t xml:space="preserve">Growth model shows ~300 registered users by Month 2</t>
  </si>
  <si>
    <t xml:space="preserve">SCENARIO B — Break-Even with Premium Subscribers Only  (no ads)</t>
  </si>
  <si>
    <t xml:space="preserve">Break-even target</t>
  </si>
  <si>
    <t xml:space="preserve">After Stripe fees; blended monthly/annual mix</t>
  </si>
  <si>
    <t xml:space="preserve">Premium Subscribers Needed to Break Even</t>
  </si>
  <si>
    <t xml:space="preserve">Rounded up to whole subscribers</t>
  </si>
  <si>
    <t xml:space="preserve">Approx. Registered Users Required  (at 3% conv.)</t>
  </si>
  <si>
    <t xml:space="preserve">Premium needed ÷ conversion rate (rough proxy)</t>
  </si>
  <si>
    <t xml:space="preserve">Month 3–5</t>
  </si>
  <si>
    <t xml:space="preserve">Model shows ~4–6 premium users within first 3 months</t>
  </si>
  <si>
    <t xml:space="preserve">SCENARIO C — Blended Model  (realistic steady state)</t>
  </si>
  <si>
    <t xml:space="preserve">Revenue Mix — % from Subscriptions</t>
  </si>
  <si>
    <t xml:space="preserve">Editable assumption: 60% sub / 40% ad at maturity</t>
  </si>
  <si>
    <t xml:space="preserve">Revenue from Subscriptions Needed</t>
  </si>
  <si>
    <t xml:space="preserve">60% of monthly infrastructure cost</t>
  </si>
  <si>
    <t xml:space="preserve">Revenue from Ads Needed</t>
  </si>
  <si>
    <t xml:space="preserve">40% of monthly infrastructure cost</t>
  </si>
  <si>
    <t xml:space="preserve">Premium Subscribers Required</t>
  </si>
  <si>
    <t xml:space="preserve">Subscription revenue needed ÷ blended net per subscriber</t>
  </si>
  <si>
    <t xml:space="preserve">Free Active Users Required</t>
  </si>
  <si>
    <t xml:space="preserve">Ad revenue needed ÷ ad revenue per free active user</t>
  </si>
  <si>
    <t xml:space="preserve">Total Active Users at Break-Even</t>
  </si>
  <si>
    <t xml:space="preserve">Sum: premium + free active</t>
  </si>
  <si>
    <t xml:space="preserve">📊  BREAK-EVEN SUMMARY</t>
  </si>
  <si>
    <t xml:space="preserve">Scenario A — Ad Revenue Only</t>
  </si>
  <si>
    <t xml:space="preserve">~200 free active users (~286 registered) needed</t>
  </si>
  <si>
    <t xml:space="preserve">Scenario B — Premium Subs Only</t>
  </si>
  <si>
    <t xml:space="preserve">Only 4 paying subscribers cover the $15/mo infra cost</t>
  </si>
  <si>
    <t xml:space="preserve">Scenario C — Blended 60/40</t>
  </si>
  <si>
    <t xml:space="preserve">~10 premium + ~80 free active (realistically Month 2–4)</t>
  </si>
  <si>
    <t xml:space="preserve">💡 Key Insight</t>
  </si>
  <si>
    <t xml:space="preserve">Infrastructure costs are negligible ($1–$30/mo). This app becomes cash-flow positive very early. The growth opportunity — not cost control — is the main lever.</t>
  </si>
  <si>
    <t xml:space="preserve">THE SOAP MAKER — 3-YEAR MONTHLY PROJECTION</t>
  </si>
  <si>
    <t xml:space="preserve">Blue = hardcoded input assumptions (editable)  |  Black = formulas  |  Green = cross-sheet links to Assumptions tab</t>
  </si>
  <si>
    <t xml:space="preserve">  YEAR 1  (Months 1–12)</t>
  </si>
  <si>
    <t xml:space="preserve">Mo.</t>
  </si>
  <si>
    <t xml:space="preserve">Period</t>
  </si>
  <si>
    <t xml:space="preserve">New
Signups</t>
  </si>
  <si>
    <t xml:space="preserve">Cum.
Registered</t>
  </si>
  <si>
    <t xml:space="preserve">Active
Users</t>
  </si>
  <si>
    <t xml:space="preserve">New Prem.
Converts</t>
  </si>
  <si>
    <t xml:space="preserve">Premium
Subs</t>
  </si>
  <si>
    <t xml:space="preserve">Free Active
Users</t>
  </si>
  <si>
    <t xml:space="preserve">Ad Revenue
($)</t>
  </si>
  <si>
    <t xml:space="preserve">Sub Revenue
($)</t>
  </si>
  <si>
    <t xml:space="preserve">Total Revenue
($)</t>
  </si>
  <si>
    <t xml:space="preserve">Infra Cost
($)</t>
  </si>
  <si>
    <t xml:space="preserve">Net Profit
($)</t>
  </si>
  <si>
    <t xml:space="preserve">Cumul. P&amp;L
($)</t>
  </si>
  <si>
    <t xml:space="preserve">Jan Y1</t>
  </si>
  <si>
    <t xml:space="preserve">Feb Y1</t>
  </si>
  <si>
    <t xml:space="preserve">Mar Y1</t>
  </si>
  <si>
    <t xml:space="preserve">Apr Y1</t>
  </si>
  <si>
    <t xml:space="preserve">May Y1</t>
  </si>
  <si>
    <t xml:space="preserve">Jun Y1</t>
  </si>
  <si>
    <t xml:space="preserve">Jul Y1</t>
  </si>
  <si>
    <t xml:space="preserve">Aug Y1</t>
  </si>
  <si>
    <t xml:space="preserve">Sep Y1</t>
  </si>
  <si>
    <t xml:space="preserve">Oct Y1</t>
  </si>
  <si>
    <t xml:space="preserve">Nov Y1</t>
  </si>
  <si>
    <t xml:space="preserve">Dec Y1</t>
  </si>
  <si>
    <t xml:space="preserve">  YEAR 2  (Months 13–24)</t>
  </si>
  <si>
    <t xml:space="preserve">Jan Y2</t>
  </si>
  <si>
    <t xml:space="preserve">Feb Y2</t>
  </si>
  <si>
    <t xml:space="preserve">Mar Y2</t>
  </si>
  <si>
    <t xml:space="preserve">Apr Y2</t>
  </si>
  <si>
    <t xml:space="preserve">May Y2</t>
  </si>
  <si>
    <t xml:space="preserve">Jun Y2</t>
  </si>
  <si>
    <t xml:space="preserve">Jul Y2</t>
  </si>
  <si>
    <t xml:space="preserve">Aug Y2</t>
  </si>
  <si>
    <t xml:space="preserve">Sep Y2</t>
  </si>
  <si>
    <t xml:space="preserve">Oct Y2</t>
  </si>
  <si>
    <t xml:space="preserve">Nov Y2</t>
  </si>
  <si>
    <t xml:space="preserve">Dec Y2</t>
  </si>
  <si>
    <t xml:space="preserve">  YEAR 3  (Months 25–36)</t>
  </si>
  <si>
    <t xml:space="preserve">Jan Y3</t>
  </si>
  <si>
    <t xml:space="preserve">Feb Y3</t>
  </si>
  <si>
    <t xml:space="preserve">Mar Y3</t>
  </si>
  <si>
    <t xml:space="preserve">Apr Y3</t>
  </si>
  <si>
    <t xml:space="preserve">May Y3</t>
  </si>
  <si>
    <t xml:space="preserve">Jun Y3</t>
  </si>
  <si>
    <t xml:space="preserve">Jul Y3</t>
  </si>
  <si>
    <t xml:space="preserve">Aug Y3</t>
  </si>
  <si>
    <t xml:space="preserve">Sep Y3</t>
  </si>
  <si>
    <t xml:space="preserve">Oct Y3</t>
  </si>
  <si>
    <t xml:space="preserve">Nov Y3</t>
  </si>
  <si>
    <t xml:space="preserve">Dec Y3</t>
  </si>
  <si>
    <t xml:space="preserve">  ANNUAL SUMMARY</t>
  </si>
  <si>
    <t xml:space="preserve">Year</t>
  </si>
  <si>
    <t xml:space="preserve">Total New
Signups</t>
  </si>
  <si>
    <t xml:space="preserve">End
Registered</t>
  </si>
  <si>
    <t xml:space="preserve">End
Active Users</t>
  </si>
  <si>
    <t xml:space="preserve">End
Premium Subs</t>
  </si>
  <si>
    <t xml:space="preserve">End Free
Active</t>
  </si>
  <si>
    <t xml:space="preserve">Total
Ad Rev ($)</t>
  </si>
  <si>
    <t xml:space="preserve">Total
Sub Rev ($)</t>
  </si>
  <si>
    <t xml:space="preserve">Total
Revenue ($)</t>
  </si>
  <si>
    <t xml:space="preserve">Total
Infra Cost ($)</t>
  </si>
  <si>
    <t xml:space="preserve">Net
Profit ($)</t>
  </si>
  <si>
    <t xml:space="preserve">Cumul.
P&amp;L ($)</t>
  </si>
  <si>
    <t xml:space="preserve">Year 1</t>
  </si>
  <si>
    <t xml:space="preserve">Year 2</t>
  </si>
  <si>
    <t xml:space="preserve">Year 3</t>
  </si>
  <si>
    <t xml:space="preserve">THE SOAP MAKER — PRICING STRATEGY &amp; RECOMMENDATIONS</t>
  </si>
  <si>
    <t xml:space="preserve">CURRENT PRICING MODEL</t>
  </si>
  <si>
    <t xml:space="preserve">Feature</t>
  </si>
  <si>
    <t xml:space="preserve">Free Tier</t>
  </si>
  <si>
    <t xml:space="preserve">Monthly
($4.99/mo)</t>
  </si>
  <si>
    <t xml:space="preserve">Annual
($39.99/yr)</t>
  </si>
  <si>
    <t xml:space="preserve">Analysis</t>
  </si>
  <si>
    <t xml:space="preserve">Browse all recipes</t>
  </si>
  <si>
    <t xml:space="preserve">✓</t>
  </si>
  <si>
    <t xml:space="preserve">Core feature — must stay free for SEO &amp; discovery</t>
  </si>
  <si>
    <t xml:space="preserve">Submit &amp; rate recipes</t>
  </si>
  <si>
    <t xml:space="preserve">Community contribution drives the content flywheel</t>
  </si>
  <si>
    <t xml:space="preserve">Ads displayed</t>
  </si>
  <si>
    <t xml:space="preserve">✗</t>
  </si>
  <si>
    <t xml:space="preserve">Ad-free is a strong, tangible premium incentive</t>
  </si>
  <si>
    <t xml:space="preserve">Lye Calculator</t>
  </si>
  <si>
    <t xml:space="preserve">High-value tool for serious crafters — key conversion driver</t>
  </si>
  <si>
    <t xml:space="preserve">Recipe Bookmarks</t>
  </si>
  <si>
    <t xml:space="preserve">Convenience feature; medium value</t>
  </si>
  <si>
    <t xml:space="preserve">Advanced Filters</t>
  </si>
  <si>
    <t xml:space="preserve">Power user feature</t>
  </si>
  <si>
    <t xml:space="preserve">Early Feature Access</t>
  </si>
  <si>
    <t xml:space="preserve">Community status incentive</t>
  </si>
  <si>
    <t xml:space="preserve">PRICING RECOMMENDATIONS</t>
  </si>
  <si>
    <t xml:space="preserve">✅  Keep $4.99/mo Monthly Plan</t>
  </si>
  <si>
    <t xml:space="preserve">Competitive for a hobby/niche app. Low enough for impulse purchase, high enough to signal quality. Compare: Canva $6.99, Notion $8, MyFitnessPal $9.99.</t>
  </si>
  <si>
    <t xml:space="preserve">✅  Keep $39.99/yr Annual Plan</t>
  </si>
  <si>
    <t xml:space="preserve">The ~33% discount (vs $59.88/yr at monthly rate) is a proven SaaS conversion lever. Annual subscribers have ~3× better LTV and lower churn than monthly.</t>
  </si>
  <si>
    <t xml:space="preserve">✅  Keep 7-Day Free Trial (No Credit Card)</t>
  </si>
  <si>
    <t xml:space="preserve">No-CC-required trials increase trial sign-up rates dramatically (3–5× vs CC-required). Lower friction = more users experiencing premium value. Expect ~20–35% trial-to-paid conversion.</t>
  </si>
  <si>
    <t xml:space="preserve">🔄  Add a Lifetime Plan at $79–$99  (at ~6 months post-launch)</t>
  </si>
  <si>
    <t xml:space="preserve">One-time payment appeals strongly to hobbyist audiences who dislike subscriptions. Can spike launch revenue, fund operations, and build a loyal base.</t>
  </si>
  <si>
    <t xml:space="preserve">🔄  Consider a "Crafter Pro" Tier at $9.99/mo  (Year 2+)</t>
  </si>
  <si>
    <t xml:space="preserve">Future tier adding: recipe PDF export, batch-size scaling calculator, household sharing (2 users), and API access for recipe app builders. Target power users.</t>
  </si>
  <si>
    <t xml:space="preserve">⚠  Never Show Ads to Premium Users</t>
  </si>
  <si>
    <t xml:space="preserve">The primary premium value proposition is an ad-free experience. Any ads on premium pages would destroy trust and spike churn. Guard this line strictly.</t>
  </si>
  <si>
    <t xml:space="preserve">📊  Primary Metric: Trial-to-Paid Conversion</t>
  </si>
  <si>
    <t xml:space="preserve">Target ≥25%. If consistently below 20%, the premium feature set is not compelling enough — add value before raising prices. Track weekly in GA4.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</si>
</sst>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0.0%"/>
    <numFmt numFmtId="167" formatCode="0.00%"/>
    <numFmt numFmtId="168" formatCode="#,##0"/>
    <numFmt numFmtId="169" formatCode="\$#,##0.000"/>
    <numFmt numFmtId="170" formatCode="\$#,##0;&quot;($&quot;#,##0\);\-"/>
    <numFmt numFmtId="171" formatCode="0%"/>
    <numFmt numFmtId="172" formatCode="\$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9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7F7F7F"/>
      <name val="Arial"/>
      <family val="0"/>
      <charset val="1"/>
    </font>
    <font>
      <b val="true"/>
      <sz val="14"/>
      <color rgb="FF008000"/>
      <name val="Arial"/>
      <family val="0"/>
      <charset val="1"/>
    </font>
    <font>
      <b val="true"/>
      <sz val="14"/>
      <color rgb="FFC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DEEAF1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F5F9FF"/>
        <bgColor rgb="FFFFFFFF"/>
      </patternFill>
    </fill>
    <fill>
      <patternFill patternType="solid">
        <fgColor rgb="FFFFFFFF"/>
        <bgColor rgb="FFF5F9FF"/>
      </patternFill>
    </fill>
    <fill>
      <patternFill patternType="solid">
        <fgColor rgb="FFE2EFDA"/>
        <bgColor rgb="FFDEEAF1"/>
      </patternFill>
    </fill>
    <fill>
      <patternFill patternType="solid">
        <fgColor rgb="FF2E75B6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70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70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0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8" fontId="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3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2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8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2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5F9FF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B1:D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52"/>
  </cols>
  <sheetData>
    <row r="1" customFormat="false" ht="31.5" hidden="false" customHeight="true" outlineLevel="0" collapsed="false">
      <c r="B1" s="1" t="s">
        <v>0</v>
      </c>
      <c r="C1" s="1"/>
      <c r="D1" s="1"/>
    </row>
    <row r="2" customFormat="false" ht="15.75" hidden="false" customHeight="true" outlineLevel="0" collapsed="false">
      <c r="B2" s="2" t="s">
        <v>1</v>
      </c>
      <c r="C2" s="2"/>
      <c r="D2" s="2"/>
    </row>
    <row r="3" customFormat="false" ht="6" hidden="false" customHeight="true" outlineLevel="0" collapsed="false"/>
    <row r="4" customFormat="false" ht="21.75" hidden="false" customHeight="true" outlineLevel="0" collapsed="false">
      <c r="B4" s="3" t="s">
        <v>2</v>
      </c>
      <c r="C4" s="3"/>
      <c r="D4" s="3"/>
    </row>
    <row r="5" customFormat="false" ht="18" hidden="false" customHeight="true" outlineLevel="0" collapsed="false">
      <c r="B5" s="4" t="s">
        <v>3</v>
      </c>
      <c r="C5" s="5" t="n">
        <v>4.99</v>
      </c>
      <c r="D5" s="6" t="s">
        <v>4</v>
      </c>
    </row>
    <row r="6" customFormat="false" ht="18" hidden="false" customHeight="true" outlineLevel="0" collapsed="false">
      <c r="B6" s="4" t="s">
        <v>5</v>
      </c>
      <c r="C6" s="5" t="n">
        <v>39.99</v>
      </c>
      <c r="D6" s="6" t="s">
        <v>6</v>
      </c>
    </row>
    <row r="7" customFormat="false" ht="18" hidden="false" customHeight="true" outlineLevel="0" collapsed="false">
      <c r="B7" s="4" t="s">
        <v>7</v>
      </c>
      <c r="C7" s="7" t="n">
        <v>0.3</v>
      </c>
      <c r="D7" s="6" t="s">
        <v>8</v>
      </c>
    </row>
    <row r="8" customFormat="false" ht="18" hidden="false" customHeight="true" outlineLevel="0" collapsed="false">
      <c r="B8" s="4" t="s">
        <v>9</v>
      </c>
      <c r="C8" s="8" t="n">
        <v>0.029</v>
      </c>
      <c r="D8" s="6" t="s">
        <v>10</v>
      </c>
    </row>
    <row r="9" customFormat="false" ht="18" hidden="false" customHeight="true" outlineLevel="0" collapsed="false">
      <c r="B9" s="4" t="s">
        <v>11</v>
      </c>
      <c r="C9" s="5" t="n">
        <v>0.3</v>
      </c>
      <c r="D9" s="6" t="s">
        <v>12</v>
      </c>
    </row>
    <row r="10" customFormat="false" ht="6" hidden="false" customHeight="true" outlineLevel="0" collapsed="false"/>
    <row r="11" customFormat="false" ht="21.75" hidden="false" customHeight="true" outlineLevel="0" collapsed="false">
      <c r="B11" s="3" t="s">
        <v>13</v>
      </c>
      <c r="C11" s="3"/>
      <c r="D11" s="3"/>
    </row>
    <row r="12" customFormat="false" ht="18" hidden="false" customHeight="true" outlineLevel="0" collapsed="false">
      <c r="B12" s="4" t="s">
        <v>14</v>
      </c>
      <c r="C12" s="9" t="n">
        <v>2.5</v>
      </c>
      <c r="D12" s="6" t="s">
        <v>15</v>
      </c>
    </row>
    <row r="13" customFormat="false" ht="18" hidden="false" customHeight="true" outlineLevel="0" collapsed="false">
      <c r="B13" s="4" t="s">
        <v>16</v>
      </c>
      <c r="C13" s="10" t="n">
        <v>5</v>
      </c>
      <c r="D13" s="6" t="s">
        <v>17</v>
      </c>
    </row>
    <row r="14" customFormat="false" ht="18" hidden="false" customHeight="true" outlineLevel="0" collapsed="false">
      <c r="B14" s="4" t="s">
        <v>18</v>
      </c>
      <c r="C14" s="10" t="n">
        <v>3</v>
      </c>
      <c r="D14" s="6" t="s">
        <v>19</v>
      </c>
    </row>
    <row r="15" customFormat="false" ht="18" hidden="false" customHeight="true" outlineLevel="0" collapsed="false">
      <c r="B15" s="4" t="s">
        <v>20</v>
      </c>
      <c r="C15" s="10" t="n">
        <v>2</v>
      </c>
      <c r="D15" s="6" t="s">
        <v>21</v>
      </c>
    </row>
    <row r="16" customFormat="false" ht="6" hidden="false" customHeight="true" outlineLevel="0" collapsed="false"/>
    <row r="17" customFormat="false" ht="21.75" hidden="false" customHeight="true" outlineLevel="0" collapsed="false">
      <c r="B17" s="3" t="s">
        <v>22</v>
      </c>
      <c r="C17" s="3"/>
      <c r="D17" s="3"/>
    </row>
    <row r="18" customFormat="false" ht="18" hidden="false" customHeight="true" outlineLevel="0" collapsed="false">
      <c r="B18" s="4" t="s">
        <v>23</v>
      </c>
      <c r="C18" s="11" t="n">
        <v>0.03</v>
      </c>
      <c r="D18" s="6" t="s">
        <v>24</v>
      </c>
    </row>
    <row r="19" customFormat="false" ht="18" hidden="false" customHeight="true" outlineLevel="0" collapsed="false">
      <c r="B19" s="4" t="s">
        <v>25</v>
      </c>
      <c r="C19" s="11" t="n">
        <v>0.05</v>
      </c>
      <c r="D19" s="6" t="s">
        <v>26</v>
      </c>
    </row>
    <row r="20" customFormat="false" ht="18" hidden="false" customHeight="true" outlineLevel="0" collapsed="false">
      <c r="B20" s="4" t="s">
        <v>27</v>
      </c>
      <c r="C20" s="7" t="n">
        <v>0.7</v>
      </c>
      <c r="D20" s="6" t="s">
        <v>28</v>
      </c>
    </row>
    <row r="21" customFormat="false" ht="6" hidden="false" customHeight="true" outlineLevel="0" collapsed="false"/>
    <row r="22" customFormat="false" ht="21.75" hidden="false" customHeight="true" outlineLevel="0" collapsed="false">
      <c r="B22" s="3" t="s">
        <v>29</v>
      </c>
      <c r="C22" s="3"/>
      <c r="D22" s="3"/>
    </row>
    <row r="23" customFormat="false" ht="18" hidden="false" customHeight="true" outlineLevel="0" collapsed="false">
      <c r="B23" s="4" t="s">
        <v>30</v>
      </c>
      <c r="C23" s="5" t="n">
        <v>1</v>
      </c>
      <c r="D23" s="6" t="s">
        <v>31</v>
      </c>
    </row>
    <row r="24" customFormat="false" ht="18" hidden="false" customHeight="true" outlineLevel="0" collapsed="false">
      <c r="B24" s="4" t="s">
        <v>32</v>
      </c>
      <c r="C24" s="5" t="n">
        <v>15</v>
      </c>
      <c r="D24" s="6" t="s">
        <v>33</v>
      </c>
    </row>
    <row r="25" customFormat="false" ht="18" hidden="false" customHeight="true" outlineLevel="0" collapsed="false">
      <c r="B25" s="4" t="s">
        <v>34</v>
      </c>
      <c r="C25" s="5" t="n">
        <v>30</v>
      </c>
      <c r="D25" s="6" t="s">
        <v>35</v>
      </c>
    </row>
    <row r="26" customFormat="false" ht="6" hidden="false" customHeight="true" outlineLevel="0" collapsed="false"/>
    <row r="27" customFormat="false" ht="21.75" hidden="false" customHeight="true" outlineLevel="0" collapsed="false">
      <c r="B27" s="3" t="s">
        <v>36</v>
      </c>
      <c r="C27" s="3"/>
      <c r="D27" s="3"/>
    </row>
    <row r="28" customFormat="false" ht="18" hidden="false" customHeight="true" outlineLevel="0" collapsed="false">
      <c r="B28" s="4" t="s">
        <v>37</v>
      </c>
      <c r="C28" s="12" t="n">
        <f aca="false">C5*(1-C8)-C9</f>
        <v>4.54529</v>
      </c>
      <c r="D28" s="6" t="s">
        <v>38</v>
      </c>
    </row>
    <row r="29" customFormat="false" ht="18" hidden="false" customHeight="true" outlineLevel="0" collapsed="false">
      <c r="B29" s="4" t="s">
        <v>39</v>
      </c>
      <c r="C29" s="12" t="n">
        <f aca="false">(C6*(1-C8)-C9)/12</f>
        <v>3.2108575</v>
      </c>
      <c r="D29" s="6" t="s">
        <v>40</v>
      </c>
    </row>
    <row r="30" customFormat="false" ht="18" hidden="false" customHeight="true" outlineLevel="0" collapsed="false">
      <c r="B30" s="13" t="s">
        <v>41</v>
      </c>
      <c r="C30" s="14" t="n">
        <f aca="false">C28*(1-C7)+C29*C7</f>
        <v>4.14496025</v>
      </c>
      <c r="D30" s="6" t="s">
        <v>42</v>
      </c>
    </row>
    <row r="31" customFormat="false" ht="18" hidden="false" customHeight="true" outlineLevel="0" collapsed="false">
      <c r="B31" s="13" t="s">
        <v>43</v>
      </c>
      <c r="C31" s="15" t="n">
        <f aca="false">C13*C14*C15/1000*C12</f>
        <v>0.075</v>
      </c>
      <c r="D31" s="6" t="s">
        <v>44</v>
      </c>
    </row>
  </sheetData>
  <mergeCells count="7">
    <mergeCell ref="B1:D1"/>
    <mergeCell ref="B2:D2"/>
    <mergeCell ref="B4:D4"/>
    <mergeCell ref="B11:D11"/>
    <mergeCell ref="B17:D17"/>
    <mergeCell ref="B22:D22"/>
    <mergeCell ref="B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5" min="3" style="0" width="18"/>
    <col collapsed="false" customWidth="true" hidden="false" outlineLevel="0" max="6" min="6" style="0" width="40"/>
  </cols>
  <sheetData>
    <row r="1" customFormat="false" ht="31.5" hidden="false" customHeight="true" outlineLevel="0" collapsed="false">
      <c r="B1" s="1" t="s">
        <v>45</v>
      </c>
      <c r="C1" s="1"/>
      <c r="D1" s="1"/>
      <c r="E1" s="1"/>
      <c r="F1" s="1"/>
    </row>
    <row r="2" customFormat="false" ht="15.75" hidden="false" customHeight="true" outlineLevel="0" collapsed="false">
      <c r="B2" s="2" t="s">
        <v>46</v>
      </c>
      <c r="C2" s="2"/>
      <c r="D2" s="2"/>
      <c r="E2" s="2"/>
      <c r="F2" s="2"/>
    </row>
    <row r="3" customFormat="false" ht="6" hidden="false" customHeight="true" outlineLevel="0" collapsed="false"/>
    <row r="4" customFormat="false" ht="36" hidden="false" customHeight="true" outlineLevel="0" collapsed="false">
      <c r="B4" s="16" t="s">
        <v>47</v>
      </c>
      <c r="C4" s="16" t="s">
        <v>48</v>
      </c>
      <c r="D4" s="16" t="s">
        <v>49</v>
      </c>
      <c r="E4" s="16" t="s">
        <v>50</v>
      </c>
      <c r="F4" s="16" t="s">
        <v>51</v>
      </c>
    </row>
    <row r="5" customFormat="false" ht="18" hidden="false" customHeight="true" outlineLevel="0" collapsed="false">
      <c r="B5" s="17" t="s">
        <v>52</v>
      </c>
      <c r="C5" s="18" t="n">
        <v>0</v>
      </c>
      <c r="D5" s="18" t="n">
        <v>0</v>
      </c>
      <c r="E5" s="18" t="n">
        <v>0</v>
      </c>
      <c r="F5" s="19" t="s">
        <v>53</v>
      </c>
    </row>
    <row r="6" customFormat="false" ht="18" hidden="false" customHeight="true" outlineLevel="0" collapsed="false">
      <c r="B6" s="20" t="s">
        <v>54</v>
      </c>
      <c r="C6" s="21" t="n">
        <v>0</v>
      </c>
      <c r="D6" s="21" t="n">
        <v>7</v>
      </c>
      <c r="E6" s="21" t="n">
        <v>7</v>
      </c>
      <c r="F6" s="22" t="s">
        <v>55</v>
      </c>
    </row>
    <row r="7" customFormat="false" ht="18" hidden="false" customHeight="true" outlineLevel="0" collapsed="false">
      <c r="B7" s="17" t="s">
        <v>56</v>
      </c>
      <c r="C7" s="18" t="n">
        <v>0</v>
      </c>
      <c r="D7" s="18" t="n">
        <v>7</v>
      </c>
      <c r="E7" s="18" t="n">
        <v>7</v>
      </c>
      <c r="F7" s="19" t="s">
        <v>57</v>
      </c>
    </row>
    <row r="8" customFormat="false" ht="18" hidden="false" customHeight="true" outlineLevel="0" collapsed="false">
      <c r="B8" s="20" t="s">
        <v>58</v>
      </c>
      <c r="C8" s="21" t="n">
        <v>0</v>
      </c>
      <c r="D8" s="21" t="n">
        <v>0</v>
      </c>
      <c r="E8" s="21" t="n">
        <v>0</v>
      </c>
      <c r="F8" s="22" t="s">
        <v>59</v>
      </c>
    </row>
    <row r="9" customFormat="false" ht="18" hidden="false" customHeight="true" outlineLevel="0" collapsed="false">
      <c r="B9" s="17" t="s">
        <v>60</v>
      </c>
      <c r="C9" s="18" t="n">
        <v>1</v>
      </c>
      <c r="D9" s="18" t="n">
        <v>1</v>
      </c>
      <c r="E9" s="18" t="n">
        <v>1</v>
      </c>
      <c r="F9" s="19" t="s">
        <v>61</v>
      </c>
    </row>
    <row r="10" customFormat="false" ht="18" hidden="false" customHeight="true" outlineLevel="0" collapsed="false">
      <c r="B10" s="20" t="s">
        <v>62</v>
      </c>
      <c r="C10" s="21" t="n">
        <v>0</v>
      </c>
      <c r="D10" s="21" t="n">
        <v>0</v>
      </c>
      <c r="E10" s="21" t="n">
        <v>0</v>
      </c>
      <c r="F10" s="22" t="s">
        <v>63</v>
      </c>
    </row>
    <row r="11" customFormat="false" ht="18" hidden="false" customHeight="true" outlineLevel="0" collapsed="false">
      <c r="B11" s="17" t="s">
        <v>64</v>
      </c>
      <c r="C11" s="18" t="n">
        <v>0</v>
      </c>
      <c r="D11" s="18" t="n">
        <v>0</v>
      </c>
      <c r="E11" s="18" t="n">
        <v>0</v>
      </c>
      <c r="F11" s="19" t="s">
        <v>65</v>
      </c>
    </row>
    <row r="12" customFormat="false" ht="18" hidden="false" customHeight="true" outlineLevel="0" collapsed="false">
      <c r="B12" s="20" t="s">
        <v>66</v>
      </c>
      <c r="C12" s="21" t="n">
        <v>0</v>
      </c>
      <c r="D12" s="21" t="n">
        <v>0</v>
      </c>
      <c r="E12" s="21" t="n">
        <v>0</v>
      </c>
      <c r="F12" s="22" t="s">
        <v>67</v>
      </c>
    </row>
    <row r="13" customFormat="false" ht="18" hidden="false" customHeight="true" outlineLevel="0" collapsed="false">
      <c r="B13" s="17" t="s">
        <v>68</v>
      </c>
      <c r="C13" s="18" t="n">
        <v>0</v>
      </c>
      <c r="D13" s="18" t="n">
        <v>0</v>
      </c>
      <c r="E13" s="18" t="n">
        <v>0</v>
      </c>
      <c r="F13" s="19" t="s">
        <v>69</v>
      </c>
    </row>
    <row r="14" customFormat="false" ht="18" hidden="false" customHeight="true" outlineLevel="0" collapsed="false">
      <c r="B14" s="20" t="s">
        <v>70</v>
      </c>
      <c r="C14" s="21" t="n">
        <v>0</v>
      </c>
      <c r="D14" s="21" t="n">
        <v>0</v>
      </c>
      <c r="E14" s="21" t="n">
        <v>0</v>
      </c>
      <c r="F14" s="22" t="s">
        <v>71</v>
      </c>
    </row>
    <row r="15" customFormat="false" ht="18" hidden="false" customHeight="true" outlineLevel="0" collapsed="false">
      <c r="B15" s="17" t="s">
        <v>72</v>
      </c>
      <c r="C15" s="18" t="n">
        <v>0</v>
      </c>
      <c r="D15" s="18" t="n">
        <v>0</v>
      </c>
      <c r="E15" s="18" t="n">
        <v>14</v>
      </c>
      <c r="F15" s="19" t="s">
        <v>73</v>
      </c>
    </row>
    <row r="16" customFormat="false" ht="21.75" hidden="false" customHeight="true" outlineLevel="0" collapsed="false">
      <c r="B16" s="23" t="s">
        <v>74</v>
      </c>
      <c r="C16" s="24" t="n">
        <f aca="false">SUM(C5:C15)</f>
        <v>1</v>
      </c>
      <c r="D16" s="24" t="n">
        <f aca="false">SUM(D5:D15)</f>
        <v>15</v>
      </c>
      <c r="E16" s="24" t="n">
        <f aca="false">SUM(E5:E15)</f>
        <v>29</v>
      </c>
      <c r="F16" s="25"/>
    </row>
    <row r="17" customFormat="false" ht="9.75" hidden="false" customHeight="true" outlineLevel="0" collapsed="false"/>
    <row r="18" customFormat="false" ht="21.75" hidden="false" customHeight="true" outlineLevel="0" collapsed="false">
      <c r="B18" s="26" t="s">
        <v>75</v>
      </c>
      <c r="C18" s="26"/>
      <c r="D18" s="26"/>
      <c r="E18" s="26"/>
      <c r="F18" s="26"/>
    </row>
    <row r="19" customFormat="false" ht="19.5" hidden="false" customHeight="true" outlineLevel="0" collapsed="false">
      <c r="B19" s="27" t="s">
        <v>76</v>
      </c>
      <c r="C19" s="28" t="s">
        <v>77</v>
      </c>
      <c r="D19" s="28"/>
      <c r="E19" s="28"/>
      <c r="F19" s="28"/>
    </row>
    <row r="20" customFormat="false" ht="19.5" hidden="false" customHeight="true" outlineLevel="0" collapsed="false">
      <c r="B20" s="27" t="s">
        <v>78</v>
      </c>
      <c r="C20" s="28" t="s">
        <v>79</v>
      </c>
      <c r="D20" s="28"/>
      <c r="E20" s="28"/>
      <c r="F20" s="28"/>
    </row>
    <row r="21" customFormat="false" ht="19.5" hidden="false" customHeight="true" outlineLevel="0" collapsed="false">
      <c r="B21" s="27" t="s">
        <v>80</v>
      </c>
      <c r="C21" s="28" t="s">
        <v>81</v>
      </c>
      <c r="D21" s="28"/>
      <c r="E21" s="28"/>
      <c r="F21" s="28"/>
    </row>
    <row r="22" customFormat="false" ht="19.5" hidden="false" customHeight="true" outlineLevel="0" collapsed="false">
      <c r="B22" s="27" t="s">
        <v>82</v>
      </c>
      <c r="C22" s="28" t="s">
        <v>83</v>
      </c>
      <c r="D22" s="28"/>
      <c r="E22" s="28"/>
      <c r="F22" s="28"/>
    </row>
    <row r="23" customFormat="false" ht="19.5" hidden="false" customHeight="true" outlineLevel="0" collapsed="false">
      <c r="B23" s="27" t="s">
        <v>84</v>
      </c>
      <c r="C23" s="28" t="s">
        <v>85</v>
      </c>
      <c r="D23" s="28"/>
      <c r="E23" s="28"/>
      <c r="F23" s="28"/>
    </row>
  </sheetData>
  <mergeCells count="8">
    <mergeCell ref="B1:F1"/>
    <mergeCell ref="B2:F2"/>
    <mergeCell ref="B18:F18"/>
    <mergeCell ref="C19:F19"/>
    <mergeCell ref="C20:F20"/>
    <mergeCell ref="C21:F21"/>
    <mergeCell ref="C22:F22"/>
    <mergeCell ref="C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B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42"/>
  </cols>
  <sheetData>
    <row r="1" customFormat="false" ht="31.5" hidden="false" customHeight="true" outlineLevel="0" collapsed="false">
      <c r="B1" s="1" t="s">
        <v>86</v>
      </c>
      <c r="C1" s="1"/>
      <c r="D1" s="1"/>
    </row>
    <row r="2" customFormat="false" ht="15.75" hidden="false" customHeight="true" outlineLevel="0" collapsed="false">
      <c r="B2" s="2" t="s">
        <v>87</v>
      </c>
      <c r="C2" s="2"/>
      <c r="D2" s="2"/>
    </row>
    <row r="3" customFormat="false" ht="6" hidden="false" customHeight="true" outlineLevel="0" collapsed="false"/>
    <row r="4" customFormat="false" ht="21.75" hidden="false" customHeight="true" outlineLevel="0" collapsed="false">
      <c r="B4" s="3" t="s">
        <v>88</v>
      </c>
      <c r="C4" s="3"/>
      <c r="D4" s="3"/>
    </row>
    <row r="5" customFormat="false" ht="18" hidden="false" customHeight="true" outlineLevel="0" collapsed="false">
      <c r="B5" s="4" t="s">
        <v>89</v>
      </c>
      <c r="C5" s="29" t="n">
        <f aca="false">Assumptions!C24</f>
        <v>15</v>
      </c>
      <c r="D5" s="6" t="s">
        <v>90</v>
      </c>
    </row>
    <row r="6" customFormat="false" ht="6" hidden="false" customHeight="true" outlineLevel="0" collapsed="false"/>
    <row r="7" customFormat="false" ht="21.75" hidden="false" customHeight="true" outlineLevel="0" collapsed="false">
      <c r="B7" s="3" t="s">
        <v>91</v>
      </c>
      <c r="C7" s="3"/>
      <c r="D7" s="3"/>
    </row>
    <row r="8" customFormat="false" ht="18" hidden="false" customHeight="true" outlineLevel="0" collapsed="false">
      <c r="B8" s="4" t="s">
        <v>92</v>
      </c>
      <c r="C8" s="12" t="n">
        <f aca="false">C5</f>
        <v>15</v>
      </c>
      <c r="D8" s="6" t="s">
        <v>93</v>
      </c>
    </row>
    <row r="9" customFormat="false" ht="18" hidden="false" customHeight="true" outlineLevel="0" collapsed="false">
      <c r="B9" s="4" t="s">
        <v>94</v>
      </c>
      <c r="C9" s="30" t="n">
        <f aca="false">Assumptions!C31</f>
        <v>0.075</v>
      </c>
      <c r="D9" s="6" t="s">
        <v>95</v>
      </c>
    </row>
    <row r="10" customFormat="false" ht="18" hidden="false" customHeight="true" outlineLevel="0" collapsed="false">
      <c r="B10" s="31" t="s">
        <v>96</v>
      </c>
      <c r="C10" s="32" t="n">
        <f aca="false">CEILING(C8/C9,1)</f>
        <v>200</v>
      </c>
      <c r="D10" s="6" t="s">
        <v>97</v>
      </c>
    </row>
    <row r="11" customFormat="false" ht="18" hidden="false" customHeight="true" outlineLevel="0" collapsed="false">
      <c r="B11" s="31" t="s">
        <v>98</v>
      </c>
      <c r="C11" s="33" t="n">
        <f aca="false">CEILING(C10/Assumptions!C20,1)</f>
        <v>286</v>
      </c>
      <c r="D11" s="6" t="s">
        <v>99</v>
      </c>
    </row>
    <row r="12" customFormat="false" ht="18" hidden="false" customHeight="true" outlineLevel="0" collapsed="false">
      <c r="B12" s="31" t="s">
        <v>100</v>
      </c>
      <c r="C12" s="34" t="s">
        <v>101</v>
      </c>
      <c r="D12" s="6" t="s">
        <v>102</v>
      </c>
    </row>
    <row r="13" customFormat="false" ht="6" hidden="false" customHeight="true" outlineLevel="0" collapsed="false"/>
    <row r="14" customFormat="false" ht="21.75" hidden="false" customHeight="true" outlineLevel="0" collapsed="false">
      <c r="B14" s="3" t="s">
        <v>103</v>
      </c>
      <c r="C14" s="3"/>
      <c r="D14" s="3"/>
    </row>
    <row r="15" customFormat="false" ht="18" hidden="false" customHeight="true" outlineLevel="0" collapsed="false">
      <c r="B15" s="4" t="s">
        <v>92</v>
      </c>
      <c r="C15" s="12" t="n">
        <f aca="false">C5</f>
        <v>15</v>
      </c>
      <c r="D15" s="6" t="s">
        <v>104</v>
      </c>
    </row>
    <row r="16" customFormat="false" ht="18" hidden="false" customHeight="true" outlineLevel="0" collapsed="false">
      <c r="B16" s="4" t="s">
        <v>41</v>
      </c>
      <c r="C16" s="29" t="n">
        <f aca="false">Assumptions!C30</f>
        <v>4.14496025</v>
      </c>
      <c r="D16" s="6" t="s">
        <v>105</v>
      </c>
    </row>
    <row r="17" customFormat="false" ht="18" hidden="false" customHeight="true" outlineLevel="0" collapsed="false">
      <c r="B17" s="31" t="s">
        <v>106</v>
      </c>
      <c r="C17" s="32" t="n">
        <f aca="false">CEILING(C15/C16,1)</f>
        <v>4</v>
      </c>
      <c r="D17" s="6" t="s">
        <v>107</v>
      </c>
    </row>
    <row r="18" customFormat="false" ht="18" hidden="false" customHeight="true" outlineLevel="0" collapsed="false">
      <c r="B18" s="31" t="s">
        <v>108</v>
      </c>
      <c r="C18" s="33" t="n">
        <f aca="false">CEILING(C17/Assumptions!C18,1)</f>
        <v>134</v>
      </c>
      <c r="D18" s="6" t="s">
        <v>109</v>
      </c>
    </row>
    <row r="19" customFormat="false" ht="18" hidden="false" customHeight="true" outlineLevel="0" collapsed="false">
      <c r="B19" s="31" t="s">
        <v>100</v>
      </c>
      <c r="C19" s="34" t="s">
        <v>110</v>
      </c>
      <c r="D19" s="6" t="s">
        <v>111</v>
      </c>
    </row>
    <row r="20" customFormat="false" ht="6" hidden="false" customHeight="true" outlineLevel="0" collapsed="false"/>
    <row r="21" customFormat="false" ht="21.75" hidden="false" customHeight="true" outlineLevel="0" collapsed="false">
      <c r="B21" s="3" t="s">
        <v>112</v>
      </c>
      <c r="C21" s="3"/>
      <c r="D21" s="3"/>
    </row>
    <row r="22" customFormat="false" ht="18" hidden="false" customHeight="true" outlineLevel="0" collapsed="false">
      <c r="B22" s="4" t="s">
        <v>92</v>
      </c>
      <c r="C22" s="12" t="n">
        <f aca="false">C5</f>
        <v>15</v>
      </c>
      <c r="D22" s="6" t="s">
        <v>104</v>
      </c>
    </row>
    <row r="23" customFormat="false" ht="18" hidden="false" customHeight="true" outlineLevel="0" collapsed="false">
      <c r="B23" s="4" t="s">
        <v>113</v>
      </c>
      <c r="C23" s="35" t="n">
        <v>0.6</v>
      </c>
      <c r="D23" s="6" t="s">
        <v>114</v>
      </c>
    </row>
    <row r="24" customFormat="false" ht="18" hidden="false" customHeight="true" outlineLevel="0" collapsed="false">
      <c r="B24" s="4" t="s">
        <v>115</v>
      </c>
      <c r="C24" s="12" t="n">
        <f aca="false">C22*C23</f>
        <v>9</v>
      </c>
      <c r="D24" s="6" t="s">
        <v>116</v>
      </c>
    </row>
    <row r="25" customFormat="false" ht="18" hidden="false" customHeight="true" outlineLevel="0" collapsed="false">
      <c r="B25" s="4" t="s">
        <v>117</v>
      </c>
      <c r="C25" s="12" t="n">
        <f aca="false">C22*(1-C23)</f>
        <v>6</v>
      </c>
      <c r="D25" s="6" t="s">
        <v>118</v>
      </c>
    </row>
    <row r="26" customFormat="false" ht="18" hidden="false" customHeight="true" outlineLevel="0" collapsed="false">
      <c r="B26" s="31" t="s">
        <v>119</v>
      </c>
      <c r="C26" s="33" t="n">
        <f aca="false">CEILING(C24/Assumptions!C30,1)</f>
        <v>3</v>
      </c>
      <c r="D26" s="6" t="s">
        <v>120</v>
      </c>
    </row>
    <row r="27" customFormat="false" ht="18" hidden="false" customHeight="true" outlineLevel="0" collapsed="false">
      <c r="B27" s="31" t="s">
        <v>121</v>
      </c>
      <c r="C27" s="33" t="n">
        <f aca="false">CEILING(C25/Assumptions!C31,1)</f>
        <v>80</v>
      </c>
      <c r="D27" s="6" t="s">
        <v>122</v>
      </c>
    </row>
    <row r="28" customFormat="false" ht="18" hidden="false" customHeight="true" outlineLevel="0" collapsed="false">
      <c r="B28" s="31" t="s">
        <v>123</v>
      </c>
      <c r="C28" s="32" t="n">
        <f aca="false">C26+C27</f>
        <v>83</v>
      </c>
      <c r="D28" s="6" t="s">
        <v>124</v>
      </c>
    </row>
    <row r="29" customFormat="false" ht="9.75" hidden="false" customHeight="true" outlineLevel="0" collapsed="false"/>
    <row r="30" customFormat="false" ht="24" hidden="false" customHeight="true" outlineLevel="0" collapsed="false">
      <c r="B30" s="36" t="s">
        <v>125</v>
      </c>
      <c r="C30" s="36"/>
      <c r="D30" s="36"/>
    </row>
    <row r="31" customFormat="false" ht="19.5" hidden="false" customHeight="true" outlineLevel="0" collapsed="false">
      <c r="B31" s="27" t="s">
        <v>126</v>
      </c>
      <c r="C31" s="37" t="s">
        <v>127</v>
      </c>
      <c r="D31" s="37"/>
    </row>
    <row r="32" customFormat="false" ht="19.5" hidden="false" customHeight="true" outlineLevel="0" collapsed="false">
      <c r="B32" s="27" t="s">
        <v>128</v>
      </c>
      <c r="C32" s="37" t="s">
        <v>129</v>
      </c>
      <c r="D32" s="37"/>
    </row>
    <row r="33" customFormat="false" ht="19.5" hidden="false" customHeight="true" outlineLevel="0" collapsed="false">
      <c r="B33" s="27" t="s">
        <v>130</v>
      </c>
      <c r="C33" s="37" t="s">
        <v>131</v>
      </c>
      <c r="D33" s="37"/>
    </row>
    <row r="34" customFormat="false" ht="39.75" hidden="false" customHeight="true" outlineLevel="0" collapsed="false">
      <c r="B34" s="38" t="s">
        <v>132</v>
      </c>
      <c r="C34" s="39" t="s">
        <v>133</v>
      </c>
      <c r="D34" s="39"/>
    </row>
  </sheetData>
  <mergeCells count="11">
    <mergeCell ref="B1:D1"/>
    <mergeCell ref="B2:D2"/>
    <mergeCell ref="B4:D4"/>
    <mergeCell ref="B7:D7"/>
    <mergeCell ref="B14:D14"/>
    <mergeCell ref="B21:D21"/>
    <mergeCell ref="B30:D30"/>
    <mergeCell ref="C31:D31"/>
    <mergeCell ref="C32:D32"/>
    <mergeCell ref="C33:D33"/>
    <mergeCell ref="C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B1:O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9" min="3" style="0" width="11"/>
    <col collapsed="false" customWidth="true" hidden="false" outlineLevel="0" max="12" min="10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4"/>
  </cols>
  <sheetData>
    <row r="1" customFormat="false" ht="31.5" hidden="false" customHeight="true" outlineLevel="0" collapsed="false">
      <c r="B1" s="1" t="s">
        <v>134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B2" s="2" t="s">
        <v>135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6" hidden="false" customHeight="true" outlineLevel="0" collapsed="false"/>
    <row r="4" customFormat="false" ht="21.75" hidden="false" customHeight="true" outlineLevel="0" collapsed="false">
      <c r="B4" s="36" t="s">
        <v>136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</row>
    <row r="5" customFormat="false" ht="36" hidden="false" customHeight="true" outlineLevel="0" collapsed="false">
      <c r="B5" s="40" t="s">
        <v>137</v>
      </c>
      <c r="C5" s="40" t="s">
        <v>138</v>
      </c>
      <c r="D5" s="40" t="s">
        <v>139</v>
      </c>
      <c r="E5" s="40" t="s">
        <v>140</v>
      </c>
      <c r="F5" s="40" t="s">
        <v>141</v>
      </c>
      <c r="G5" s="40" t="s">
        <v>142</v>
      </c>
      <c r="H5" s="40" t="s">
        <v>143</v>
      </c>
      <c r="I5" s="40" t="s">
        <v>144</v>
      </c>
      <c r="J5" s="40" t="s">
        <v>145</v>
      </c>
      <c r="K5" s="40" t="s">
        <v>146</v>
      </c>
      <c r="L5" s="40" t="s">
        <v>147</v>
      </c>
      <c r="M5" s="40" t="s">
        <v>148</v>
      </c>
      <c r="N5" s="40" t="s">
        <v>149</v>
      </c>
      <c r="O5" s="40" t="s">
        <v>150</v>
      </c>
    </row>
    <row r="6" customFormat="false" ht="18" hidden="false" customHeight="true" outlineLevel="0" collapsed="false">
      <c r="B6" s="41" t="n">
        <v>1</v>
      </c>
      <c r="C6" s="42" t="s">
        <v>151</v>
      </c>
      <c r="D6" s="43" t="n">
        <v>75</v>
      </c>
      <c r="E6" s="44" t="n">
        <f aca="false">D6</f>
        <v>75</v>
      </c>
      <c r="F6" s="45" t="n">
        <f aca="false">ROUND(E6*Assumptions!$C$20,0)</f>
        <v>53</v>
      </c>
      <c r="G6" s="45" t="n">
        <f aca="false">ROUND(D6*Assumptions!$C$18,0)</f>
        <v>2</v>
      </c>
      <c r="H6" s="45" t="n">
        <f aca="false">G6</f>
        <v>2</v>
      </c>
      <c r="I6" s="44" t="n">
        <f aca="false">MAX(0,F6-H6)</f>
        <v>51</v>
      </c>
      <c r="J6" s="46" t="n">
        <f aca="false">ROUND(I6*Assumptions!$C$13*Assumptions!$C$14*Assumptions!$C$15/1000*Assumptions!$C$12,2)</f>
        <v>3.83</v>
      </c>
      <c r="K6" s="46" t="n">
        <f aca="false">ROUND(H6*Assumptions!$C$30,2)</f>
        <v>8.29</v>
      </c>
      <c r="L6" s="47" t="n">
        <f aca="false">J6+K6</f>
        <v>12.12</v>
      </c>
      <c r="M6" s="46" t="n">
        <f aca="false">IF(B6&lt;=3,Assumptions!$C$23,IF(B6&lt;=24,Assumptions!$C$24,Assumptions!$C$25))</f>
        <v>1</v>
      </c>
      <c r="N6" s="47" t="n">
        <f aca="false">L6-M6</f>
        <v>11.12</v>
      </c>
      <c r="O6" s="47" t="n">
        <f aca="false">N6</f>
        <v>11.12</v>
      </c>
    </row>
    <row r="7" customFormat="false" ht="18" hidden="false" customHeight="true" outlineLevel="0" collapsed="false">
      <c r="B7" s="48" t="n">
        <v>2</v>
      </c>
      <c r="C7" s="49" t="s">
        <v>152</v>
      </c>
      <c r="D7" s="50" t="n">
        <v>115</v>
      </c>
      <c r="E7" s="51" t="n">
        <f aca="false">E6+D7</f>
        <v>190</v>
      </c>
      <c r="F7" s="52" t="n">
        <f aca="false">ROUND(E7*Assumptions!$C$20,0)</f>
        <v>133</v>
      </c>
      <c r="G7" s="52" t="n">
        <f aca="false">ROUND(D7*Assumptions!$C$18,0)</f>
        <v>3</v>
      </c>
      <c r="H7" s="52" t="n">
        <f aca="false">MAX(0,ROUND(H6*(1-Assumptions!$C$19)+G7,0))</f>
        <v>5</v>
      </c>
      <c r="I7" s="51" t="n">
        <f aca="false">MAX(0,F7-H7)</f>
        <v>128</v>
      </c>
      <c r="J7" s="53" t="n">
        <f aca="false">ROUND(I7*Assumptions!$C$13*Assumptions!$C$14*Assumptions!$C$15/1000*Assumptions!$C$12,2)</f>
        <v>9.6</v>
      </c>
      <c r="K7" s="53" t="n">
        <f aca="false">ROUND(H7*Assumptions!$C$30,2)</f>
        <v>20.72</v>
      </c>
      <c r="L7" s="54" t="n">
        <f aca="false">J7+K7</f>
        <v>30.32</v>
      </c>
      <c r="M7" s="53" t="n">
        <f aca="false">IF(B7&lt;=3,Assumptions!$C$23,IF(B7&lt;=24,Assumptions!$C$24,Assumptions!$C$25))</f>
        <v>1</v>
      </c>
      <c r="N7" s="54" t="n">
        <f aca="false">L7-M7</f>
        <v>29.32</v>
      </c>
      <c r="O7" s="54" t="n">
        <f aca="false">O6+N7</f>
        <v>40.44</v>
      </c>
    </row>
    <row r="8" customFormat="false" ht="18" hidden="false" customHeight="true" outlineLevel="0" collapsed="false">
      <c r="B8" s="41" t="n">
        <v>3</v>
      </c>
      <c r="C8" s="42" t="s">
        <v>153</v>
      </c>
      <c r="D8" s="43" t="n">
        <v>160</v>
      </c>
      <c r="E8" s="44" t="n">
        <f aca="false">E7+D8</f>
        <v>350</v>
      </c>
      <c r="F8" s="45" t="n">
        <f aca="false">ROUND(E8*Assumptions!$C$20,0)</f>
        <v>245</v>
      </c>
      <c r="G8" s="45" t="n">
        <f aca="false">ROUND(D8*Assumptions!$C$18,0)</f>
        <v>5</v>
      </c>
      <c r="H8" s="45" t="n">
        <f aca="false">MAX(0,ROUND(H7*(1-Assumptions!$C$19)+G8,0))</f>
        <v>10</v>
      </c>
      <c r="I8" s="44" t="n">
        <f aca="false">MAX(0,F8-H8)</f>
        <v>235</v>
      </c>
      <c r="J8" s="46" t="n">
        <f aca="false">ROUND(I8*Assumptions!$C$13*Assumptions!$C$14*Assumptions!$C$15/1000*Assumptions!$C$12,2)</f>
        <v>17.63</v>
      </c>
      <c r="K8" s="46" t="n">
        <f aca="false">ROUND(H8*Assumptions!$C$30,2)</f>
        <v>41.45</v>
      </c>
      <c r="L8" s="47" t="n">
        <f aca="false">J8+K8</f>
        <v>59.08</v>
      </c>
      <c r="M8" s="46" t="n">
        <f aca="false">IF(B8&lt;=3,Assumptions!$C$23,IF(B8&lt;=24,Assumptions!$C$24,Assumptions!$C$25))</f>
        <v>1</v>
      </c>
      <c r="N8" s="47" t="n">
        <f aca="false">L8-M8</f>
        <v>58.08</v>
      </c>
      <c r="O8" s="47" t="n">
        <f aca="false">O7+N8</f>
        <v>98.52</v>
      </c>
    </row>
    <row r="9" customFormat="false" ht="18" hidden="false" customHeight="true" outlineLevel="0" collapsed="false">
      <c r="B9" s="48" t="n">
        <v>4</v>
      </c>
      <c r="C9" s="49" t="s">
        <v>154</v>
      </c>
      <c r="D9" s="50" t="n">
        <v>205</v>
      </c>
      <c r="E9" s="51" t="n">
        <f aca="false">E8+D9</f>
        <v>555</v>
      </c>
      <c r="F9" s="52" t="n">
        <f aca="false">ROUND(E9*Assumptions!$C$20,0)</f>
        <v>389</v>
      </c>
      <c r="G9" s="52" t="n">
        <f aca="false">ROUND(D9*Assumptions!$C$18,0)</f>
        <v>6</v>
      </c>
      <c r="H9" s="52" t="n">
        <f aca="false">MAX(0,ROUND(H8*(1-Assumptions!$C$19)+G9,0))</f>
        <v>16</v>
      </c>
      <c r="I9" s="51" t="n">
        <f aca="false">MAX(0,F9-H9)</f>
        <v>373</v>
      </c>
      <c r="J9" s="53" t="n">
        <f aca="false">ROUND(I9*Assumptions!$C$13*Assumptions!$C$14*Assumptions!$C$15/1000*Assumptions!$C$12,2)</f>
        <v>27.98</v>
      </c>
      <c r="K9" s="53" t="n">
        <f aca="false">ROUND(H9*Assumptions!$C$30,2)</f>
        <v>66.32</v>
      </c>
      <c r="L9" s="54" t="n">
        <f aca="false">J9+K9</f>
        <v>94.3</v>
      </c>
      <c r="M9" s="53" t="n">
        <f aca="false">IF(B9&lt;=3,Assumptions!$C$23,IF(B9&lt;=24,Assumptions!$C$24,Assumptions!$C$25))</f>
        <v>15</v>
      </c>
      <c r="N9" s="54" t="n">
        <f aca="false">L9-M9</f>
        <v>79.3</v>
      </c>
      <c r="O9" s="54" t="n">
        <f aca="false">O8+N9</f>
        <v>177.82</v>
      </c>
    </row>
    <row r="10" customFormat="false" ht="18" hidden="false" customHeight="true" outlineLevel="0" collapsed="false">
      <c r="B10" s="41" t="n">
        <v>5</v>
      </c>
      <c r="C10" s="42" t="s">
        <v>155</v>
      </c>
      <c r="D10" s="43" t="n">
        <v>245</v>
      </c>
      <c r="E10" s="44" t="n">
        <f aca="false">E9+D10</f>
        <v>800</v>
      </c>
      <c r="F10" s="45" t="n">
        <f aca="false">ROUND(E10*Assumptions!$C$20,0)</f>
        <v>560</v>
      </c>
      <c r="G10" s="45" t="n">
        <f aca="false">ROUND(D10*Assumptions!$C$18,0)</f>
        <v>7</v>
      </c>
      <c r="H10" s="45" t="n">
        <f aca="false">MAX(0,ROUND(H9*(1-Assumptions!$C$19)+G10,0))</f>
        <v>22</v>
      </c>
      <c r="I10" s="44" t="n">
        <f aca="false">MAX(0,F10-H10)</f>
        <v>538</v>
      </c>
      <c r="J10" s="46" t="n">
        <f aca="false">ROUND(I10*Assumptions!$C$13*Assumptions!$C$14*Assumptions!$C$15/1000*Assumptions!$C$12,2)</f>
        <v>40.35</v>
      </c>
      <c r="K10" s="46" t="n">
        <f aca="false">ROUND(H10*Assumptions!$C$30,2)</f>
        <v>91.19</v>
      </c>
      <c r="L10" s="47" t="n">
        <f aca="false">J10+K10</f>
        <v>131.54</v>
      </c>
      <c r="M10" s="46" t="n">
        <f aca="false">IF(B10&lt;=3,Assumptions!$C$23,IF(B10&lt;=24,Assumptions!$C$24,Assumptions!$C$25))</f>
        <v>15</v>
      </c>
      <c r="N10" s="47" t="n">
        <f aca="false">L10-M10</f>
        <v>116.54</v>
      </c>
      <c r="O10" s="47" t="n">
        <f aca="false">O9+N10</f>
        <v>294.36</v>
      </c>
    </row>
    <row r="11" customFormat="false" ht="18" hidden="false" customHeight="true" outlineLevel="0" collapsed="false">
      <c r="B11" s="48" t="n">
        <v>6</v>
      </c>
      <c r="C11" s="49" t="s">
        <v>156</v>
      </c>
      <c r="D11" s="50" t="n">
        <v>285</v>
      </c>
      <c r="E11" s="51" t="n">
        <f aca="false">E10+D11</f>
        <v>1085</v>
      </c>
      <c r="F11" s="52" t="n">
        <f aca="false">ROUND(E11*Assumptions!$C$20,0)</f>
        <v>760</v>
      </c>
      <c r="G11" s="52" t="n">
        <f aca="false">ROUND(D11*Assumptions!$C$18,0)</f>
        <v>9</v>
      </c>
      <c r="H11" s="52" t="n">
        <f aca="false">MAX(0,ROUND(H10*(1-Assumptions!$C$19)+G11,0))</f>
        <v>30</v>
      </c>
      <c r="I11" s="51" t="n">
        <f aca="false">MAX(0,F11-H11)</f>
        <v>730</v>
      </c>
      <c r="J11" s="53" t="n">
        <f aca="false">ROUND(I11*Assumptions!$C$13*Assumptions!$C$14*Assumptions!$C$15/1000*Assumptions!$C$12,2)</f>
        <v>54.75</v>
      </c>
      <c r="K11" s="53" t="n">
        <f aca="false">ROUND(H11*Assumptions!$C$30,2)</f>
        <v>124.35</v>
      </c>
      <c r="L11" s="54" t="n">
        <f aca="false">J11+K11</f>
        <v>179.1</v>
      </c>
      <c r="M11" s="53" t="n">
        <f aca="false">IF(B11&lt;=3,Assumptions!$C$23,IF(B11&lt;=24,Assumptions!$C$24,Assumptions!$C$25))</f>
        <v>15</v>
      </c>
      <c r="N11" s="54" t="n">
        <f aca="false">L11-M11</f>
        <v>164.1</v>
      </c>
      <c r="O11" s="54" t="n">
        <f aca="false">O10+N11</f>
        <v>458.46</v>
      </c>
    </row>
    <row r="12" customFormat="false" ht="18" hidden="false" customHeight="true" outlineLevel="0" collapsed="false">
      <c r="B12" s="41" t="n">
        <v>7</v>
      </c>
      <c r="C12" s="42" t="s">
        <v>157</v>
      </c>
      <c r="D12" s="43" t="n">
        <v>315</v>
      </c>
      <c r="E12" s="44" t="n">
        <f aca="false">E11+D12</f>
        <v>1400</v>
      </c>
      <c r="F12" s="45" t="n">
        <f aca="false">ROUND(E12*Assumptions!$C$20,0)</f>
        <v>980</v>
      </c>
      <c r="G12" s="45" t="n">
        <f aca="false">ROUND(D12*Assumptions!$C$18,0)</f>
        <v>9</v>
      </c>
      <c r="H12" s="45" t="n">
        <f aca="false">MAX(0,ROUND(H11*(1-Assumptions!$C$19)+G12,0))</f>
        <v>38</v>
      </c>
      <c r="I12" s="44" t="n">
        <f aca="false">MAX(0,F12-H12)</f>
        <v>942</v>
      </c>
      <c r="J12" s="46" t="n">
        <f aca="false">ROUND(I12*Assumptions!$C$13*Assumptions!$C$14*Assumptions!$C$15/1000*Assumptions!$C$12,2)</f>
        <v>70.65</v>
      </c>
      <c r="K12" s="46" t="n">
        <f aca="false">ROUND(H12*Assumptions!$C$30,2)</f>
        <v>157.51</v>
      </c>
      <c r="L12" s="47" t="n">
        <f aca="false">J12+K12</f>
        <v>228.16</v>
      </c>
      <c r="M12" s="46" t="n">
        <f aca="false">IF(B12&lt;=3,Assumptions!$C$23,IF(B12&lt;=24,Assumptions!$C$24,Assumptions!$C$25))</f>
        <v>15</v>
      </c>
      <c r="N12" s="47" t="n">
        <f aca="false">L12-M12</f>
        <v>213.16</v>
      </c>
      <c r="O12" s="47" t="n">
        <f aca="false">O11+N12</f>
        <v>671.62</v>
      </c>
    </row>
    <row r="13" customFormat="false" ht="18" hidden="false" customHeight="true" outlineLevel="0" collapsed="false">
      <c r="B13" s="48" t="n">
        <v>8</v>
      </c>
      <c r="C13" s="49" t="s">
        <v>158</v>
      </c>
      <c r="D13" s="50" t="n">
        <v>340</v>
      </c>
      <c r="E13" s="51" t="n">
        <f aca="false">E12+D13</f>
        <v>1740</v>
      </c>
      <c r="F13" s="52" t="n">
        <f aca="false">ROUND(E13*Assumptions!$C$20,0)</f>
        <v>1218</v>
      </c>
      <c r="G13" s="52" t="n">
        <f aca="false">ROUND(D13*Assumptions!$C$18,0)</f>
        <v>10</v>
      </c>
      <c r="H13" s="52" t="n">
        <f aca="false">MAX(0,ROUND(H12*(1-Assumptions!$C$19)+G13,0))</f>
        <v>46</v>
      </c>
      <c r="I13" s="51" t="n">
        <f aca="false">MAX(0,F13-H13)</f>
        <v>1172</v>
      </c>
      <c r="J13" s="53" t="n">
        <f aca="false">ROUND(I13*Assumptions!$C$13*Assumptions!$C$14*Assumptions!$C$15/1000*Assumptions!$C$12,2)</f>
        <v>87.9</v>
      </c>
      <c r="K13" s="53" t="n">
        <f aca="false">ROUND(H13*Assumptions!$C$30,2)</f>
        <v>190.67</v>
      </c>
      <c r="L13" s="54" t="n">
        <f aca="false">J13+K13</f>
        <v>278.57</v>
      </c>
      <c r="M13" s="53" t="n">
        <f aca="false">IF(B13&lt;=3,Assumptions!$C$23,IF(B13&lt;=24,Assumptions!$C$24,Assumptions!$C$25))</f>
        <v>15</v>
      </c>
      <c r="N13" s="54" t="n">
        <f aca="false">L13-M13</f>
        <v>263.57</v>
      </c>
      <c r="O13" s="54" t="n">
        <f aca="false">O12+N13</f>
        <v>935.19</v>
      </c>
    </row>
    <row r="14" customFormat="false" ht="18" hidden="false" customHeight="true" outlineLevel="0" collapsed="false">
      <c r="B14" s="41" t="n">
        <v>9</v>
      </c>
      <c r="C14" s="42" t="s">
        <v>159</v>
      </c>
      <c r="D14" s="43" t="n">
        <v>360</v>
      </c>
      <c r="E14" s="44" t="n">
        <f aca="false">E13+D14</f>
        <v>2100</v>
      </c>
      <c r="F14" s="45" t="n">
        <f aca="false">ROUND(E14*Assumptions!$C$20,0)</f>
        <v>1470</v>
      </c>
      <c r="G14" s="45" t="n">
        <f aca="false">ROUND(D14*Assumptions!$C$18,0)</f>
        <v>11</v>
      </c>
      <c r="H14" s="45" t="n">
        <f aca="false">MAX(0,ROUND(H13*(1-Assumptions!$C$19)+G14,0))</f>
        <v>55</v>
      </c>
      <c r="I14" s="44" t="n">
        <f aca="false">MAX(0,F14-H14)</f>
        <v>1415</v>
      </c>
      <c r="J14" s="46" t="n">
        <f aca="false">ROUND(I14*Assumptions!$C$13*Assumptions!$C$14*Assumptions!$C$15/1000*Assumptions!$C$12,2)</f>
        <v>106.13</v>
      </c>
      <c r="K14" s="46" t="n">
        <f aca="false">ROUND(H14*Assumptions!$C$30,2)</f>
        <v>227.97</v>
      </c>
      <c r="L14" s="47" t="n">
        <f aca="false">J14+K14</f>
        <v>334.1</v>
      </c>
      <c r="M14" s="46" t="n">
        <f aca="false">IF(B14&lt;=3,Assumptions!$C$23,IF(B14&lt;=24,Assumptions!$C$24,Assumptions!$C$25))</f>
        <v>15</v>
      </c>
      <c r="N14" s="47" t="n">
        <f aca="false">L14-M14</f>
        <v>319.1</v>
      </c>
      <c r="O14" s="47" t="n">
        <f aca="false">O13+N14</f>
        <v>1254.29</v>
      </c>
    </row>
    <row r="15" customFormat="false" ht="18" hidden="false" customHeight="true" outlineLevel="0" collapsed="false">
      <c r="B15" s="48" t="n">
        <v>10</v>
      </c>
      <c r="C15" s="49" t="s">
        <v>160</v>
      </c>
      <c r="D15" s="50" t="n">
        <v>375</v>
      </c>
      <c r="E15" s="51" t="n">
        <f aca="false">E14+D15</f>
        <v>2475</v>
      </c>
      <c r="F15" s="52" t="n">
        <f aca="false">ROUND(E15*Assumptions!$C$20,0)</f>
        <v>1733</v>
      </c>
      <c r="G15" s="52" t="n">
        <f aca="false">ROUND(D15*Assumptions!$C$18,0)</f>
        <v>11</v>
      </c>
      <c r="H15" s="52" t="n">
        <f aca="false">MAX(0,ROUND(H14*(1-Assumptions!$C$19)+G15,0))</f>
        <v>63</v>
      </c>
      <c r="I15" s="51" t="n">
        <f aca="false">MAX(0,F15-H15)</f>
        <v>1670</v>
      </c>
      <c r="J15" s="53" t="n">
        <f aca="false">ROUND(I15*Assumptions!$C$13*Assumptions!$C$14*Assumptions!$C$15/1000*Assumptions!$C$12,2)</f>
        <v>125.25</v>
      </c>
      <c r="K15" s="53" t="n">
        <f aca="false">ROUND(H15*Assumptions!$C$30,2)</f>
        <v>261.13</v>
      </c>
      <c r="L15" s="54" t="n">
        <f aca="false">J15+K15</f>
        <v>386.38</v>
      </c>
      <c r="M15" s="53" t="n">
        <f aca="false">IF(B15&lt;=3,Assumptions!$C$23,IF(B15&lt;=24,Assumptions!$C$24,Assumptions!$C$25))</f>
        <v>15</v>
      </c>
      <c r="N15" s="54" t="n">
        <f aca="false">L15-M15</f>
        <v>371.38</v>
      </c>
      <c r="O15" s="54" t="n">
        <f aca="false">O14+N15</f>
        <v>1625.67</v>
      </c>
    </row>
    <row r="16" customFormat="false" ht="18" hidden="false" customHeight="true" outlineLevel="0" collapsed="false">
      <c r="B16" s="41" t="n">
        <v>11</v>
      </c>
      <c r="C16" s="42" t="s">
        <v>161</v>
      </c>
      <c r="D16" s="43" t="n">
        <v>385</v>
      </c>
      <c r="E16" s="44" t="n">
        <f aca="false">E15+D16</f>
        <v>2860</v>
      </c>
      <c r="F16" s="45" t="n">
        <f aca="false">ROUND(E16*Assumptions!$C$20,0)</f>
        <v>2002</v>
      </c>
      <c r="G16" s="45" t="n">
        <f aca="false">ROUND(D16*Assumptions!$C$18,0)</f>
        <v>12</v>
      </c>
      <c r="H16" s="45" t="n">
        <f aca="false">MAX(0,ROUND(H15*(1-Assumptions!$C$19)+G16,0))</f>
        <v>72</v>
      </c>
      <c r="I16" s="44" t="n">
        <f aca="false">MAX(0,F16-H16)</f>
        <v>1930</v>
      </c>
      <c r="J16" s="46" t="n">
        <f aca="false">ROUND(I16*Assumptions!$C$13*Assumptions!$C$14*Assumptions!$C$15/1000*Assumptions!$C$12,2)</f>
        <v>144.75</v>
      </c>
      <c r="K16" s="46" t="n">
        <f aca="false">ROUND(H16*Assumptions!$C$30,2)</f>
        <v>298.44</v>
      </c>
      <c r="L16" s="47" t="n">
        <f aca="false">J16+K16</f>
        <v>443.19</v>
      </c>
      <c r="M16" s="46" t="n">
        <f aca="false">IF(B16&lt;=3,Assumptions!$C$23,IF(B16&lt;=24,Assumptions!$C$24,Assumptions!$C$25))</f>
        <v>15</v>
      </c>
      <c r="N16" s="47" t="n">
        <f aca="false">L16-M16</f>
        <v>428.19</v>
      </c>
      <c r="O16" s="47" t="n">
        <f aca="false">O15+N16</f>
        <v>2053.86</v>
      </c>
    </row>
    <row r="17" customFormat="false" ht="18" hidden="false" customHeight="true" outlineLevel="0" collapsed="false">
      <c r="B17" s="48" t="n">
        <v>12</v>
      </c>
      <c r="C17" s="49" t="s">
        <v>162</v>
      </c>
      <c r="D17" s="50" t="n">
        <v>392</v>
      </c>
      <c r="E17" s="51" t="n">
        <f aca="false">E16+D17</f>
        <v>3252</v>
      </c>
      <c r="F17" s="52" t="n">
        <f aca="false">ROUND(E17*Assumptions!$C$20,0)</f>
        <v>2276</v>
      </c>
      <c r="G17" s="52" t="n">
        <f aca="false">ROUND(D17*Assumptions!$C$18,0)</f>
        <v>12</v>
      </c>
      <c r="H17" s="52" t="n">
        <f aca="false">MAX(0,ROUND(H16*(1-Assumptions!$C$19)+G17,0))</f>
        <v>80</v>
      </c>
      <c r="I17" s="51" t="n">
        <f aca="false">MAX(0,F17-H17)</f>
        <v>2196</v>
      </c>
      <c r="J17" s="53" t="n">
        <f aca="false">ROUND(I17*Assumptions!$C$13*Assumptions!$C$14*Assumptions!$C$15/1000*Assumptions!$C$12,2)</f>
        <v>164.7</v>
      </c>
      <c r="K17" s="53" t="n">
        <f aca="false">ROUND(H17*Assumptions!$C$30,2)</f>
        <v>331.6</v>
      </c>
      <c r="L17" s="54" t="n">
        <f aca="false">J17+K17</f>
        <v>496.3</v>
      </c>
      <c r="M17" s="53" t="n">
        <f aca="false">IF(B17&lt;=3,Assumptions!$C$23,IF(B17&lt;=24,Assumptions!$C$24,Assumptions!$C$25))</f>
        <v>15</v>
      </c>
      <c r="N17" s="54" t="n">
        <f aca="false">L17-M17</f>
        <v>481.3</v>
      </c>
      <c r="O17" s="54" t="n">
        <f aca="false">O16+N17</f>
        <v>2535.16</v>
      </c>
    </row>
    <row r="18" customFormat="false" ht="21.75" hidden="false" customHeight="true" outlineLevel="0" collapsed="false">
      <c r="B18" s="36" t="s">
        <v>163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</row>
    <row r="19" customFormat="false" ht="36" hidden="false" customHeight="true" outlineLevel="0" collapsed="false">
      <c r="B19" s="40" t="s">
        <v>137</v>
      </c>
      <c r="C19" s="40" t="s">
        <v>138</v>
      </c>
      <c r="D19" s="40" t="s">
        <v>139</v>
      </c>
      <c r="E19" s="40" t="s">
        <v>140</v>
      </c>
      <c r="F19" s="40" t="s">
        <v>141</v>
      </c>
      <c r="G19" s="40" t="s">
        <v>142</v>
      </c>
      <c r="H19" s="40" t="s">
        <v>143</v>
      </c>
      <c r="I19" s="40" t="s">
        <v>144</v>
      </c>
      <c r="J19" s="40" t="s">
        <v>145</v>
      </c>
      <c r="K19" s="40" t="s">
        <v>146</v>
      </c>
      <c r="L19" s="40" t="s">
        <v>147</v>
      </c>
      <c r="M19" s="40" t="s">
        <v>148</v>
      </c>
      <c r="N19" s="40" t="s">
        <v>149</v>
      </c>
      <c r="O19" s="40" t="s">
        <v>150</v>
      </c>
    </row>
    <row r="20" customFormat="false" ht="18" hidden="false" customHeight="true" outlineLevel="0" collapsed="false">
      <c r="B20" s="41" t="n">
        <v>13</v>
      </c>
      <c r="C20" s="42" t="s">
        <v>164</v>
      </c>
      <c r="D20" s="43" t="n">
        <v>400</v>
      </c>
      <c r="E20" s="44" t="n">
        <f aca="false">E17+D20</f>
        <v>3652</v>
      </c>
      <c r="F20" s="45" t="n">
        <f aca="false">ROUND(E20*Assumptions!$C$20,0)</f>
        <v>2556</v>
      </c>
      <c r="G20" s="45" t="n">
        <f aca="false">ROUND(D20*Assumptions!$C$18,0)</f>
        <v>12</v>
      </c>
      <c r="H20" s="45" t="n">
        <f aca="false">MAX(0,ROUND(H17*(1-Assumptions!$C$19)+G20,0))</f>
        <v>88</v>
      </c>
      <c r="I20" s="44" t="n">
        <f aca="false">MAX(0,F20-H20)</f>
        <v>2468</v>
      </c>
      <c r="J20" s="46" t="n">
        <f aca="false">ROUND(I20*Assumptions!$C$13*Assumptions!$C$14*Assumptions!$C$15/1000*Assumptions!$C$12,2)</f>
        <v>185.1</v>
      </c>
      <c r="K20" s="46" t="n">
        <f aca="false">ROUND(H20*Assumptions!$C$30,2)</f>
        <v>364.76</v>
      </c>
      <c r="L20" s="47" t="n">
        <f aca="false">J20+K20</f>
        <v>549.86</v>
      </c>
      <c r="M20" s="46" t="n">
        <f aca="false">IF(B20&lt;=3,Assumptions!$C$23,IF(B20&lt;=24,Assumptions!$C$24,Assumptions!$C$25))</f>
        <v>15</v>
      </c>
      <c r="N20" s="47" t="n">
        <f aca="false">L20-M20</f>
        <v>534.86</v>
      </c>
      <c r="O20" s="47" t="n">
        <f aca="false">O17+N20</f>
        <v>3070.02</v>
      </c>
    </row>
    <row r="21" customFormat="false" ht="18" hidden="false" customHeight="true" outlineLevel="0" collapsed="false">
      <c r="B21" s="48" t="n">
        <v>14</v>
      </c>
      <c r="C21" s="49" t="s">
        <v>165</v>
      </c>
      <c r="D21" s="50" t="n">
        <v>415</v>
      </c>
      <c r="E21" s="51" t="n">
        <f aca="false">E20+D21</f>
        <v>4067</v>
      </c>
      <c r="F21" s="52" t="n">
        <f aca="false">ROUND(E21*Assumptions!$C$20,0)</f>
        <v>2847</v>
      </c>
      <c r="G21" s="52" t="n">
        <f aca="false">ROUND(D21*Assumptions!$C$18,0)</f>
        <v>12</v>
      </c>
      <c r="H21" s="52" t="n">
        <f aca="false">MAX(0,ROUND(H20*(1-Assumptions!$C$19)+G21,0))</f>
        <v>96</v>
      </c>
      <c r="I21" s="51" t="n">
        <f aca="false">MAX(0,F21-H21)</f>
        <v>2751</v>
      </c>
      <c r="J21" s="53" t="n">
        <f aca="false">ROUND(I21*Assumptions!$C$13*Assumptions!$C$14*Assumptions!$C$15/1000*Assumptions!$C$12,2)</f>
        <v>206.33</v>
      </c>
      <c r="K21" s="53" t="n">
        <f aca="false">ROUND(H21*Assumptions!$C$30,2)</f>
        <v>397.92</v>
      </c>
      <c r="L21" s="54" t="n">
        <f aca="false">J21+K21</f>
        <v>604.25</v>
      </c>
      <c r="M21" s="53" t="n">
        <f aca="false">IF(B21&lt;=3,Assumptions!$C$23,IF(B21&lt;=24,Assumptions!$C$24,Assumptions!$C$25))</f>
        <v>15</v>
      </c>
      <c r="N21" s="54" t="n">
        <f aca="false">L21-M21</f>
        <v>589.25</v>
      </c>
      <c r="O21" s="54" t="n">
        <f aca="false">O20+N21</f>
        <v>3659.27</v>
      </c>
    </row>
    <row r="22" customFormat="false" ht="18" hidden="false" customHeight="true" outlineLevel="0" collapsed="false">
      <c r="B22" s="41" t="n">
        <v>15</v>
      </c>
      <c r="C22" s="42" t="s">
        <v>166</v>
      </c>
      <c r="D22" s="43" t="n">
        <v>430</v>
      </c>
      <c r="E22" s="44" t="n">
        <f aca="false">E21+D22</f>
        <v>4497</v>
      </c>
      <c r="F22" s="45" t="n">
        <f aca="false">ROUND(E22*Assumptions!$C$20,0)</f>
        <v>3148</v>
      </c>
      <c r="G22" s="45" t="n">
        <f aca="false">ROUND(D22*Assumptions!$C$18,0)</f>
        <v>13</v>
      </c>
      <c r="H22" s="45" t="n">
        <f aca="false">MAX(0,ROUND(H21*(1-Assumptions!$C$19)+G22,0))</f>
        <v>104</v>
      </c>
      <c r="I22" s="44" t="n">
        <f aca="false">MAX(0,F22-H22)</f>
        <v>3044</v>
      </c>
      <c r="J22" s="46" t="n">
        <f aca="false">ROUND(I22*Assumptions!$C$13*Assumptions!$C$14*Assumptions!$C$15/1000*Assumptions!$C$12,2)</f>
        <v>228.3</v>
      </c>
      <c r="K22" s="46" t="n">
        <f aca="false">ROUND(H22*Assumptions!$C$30,2)</f>
        <v>431.08</v>
      </c>
      <c r="L22" s="47" t="n">
        <f aca="false">J22+K22</f>
        <v>659.38</v>
      </c>
      <c r="M22" s="46" t="n">
        <f aca="false">IF(B22&lt;=3,Assumptions!$C$23,IF(B22&lt;=24,Assumptions!$C$24,Assumptions!$C$25))</f>
        <v>15</v>
      </c>
      <c r="N22" s="47" t="n">
        <f aca="false">L22-M22</f>
        <v>644.38</v>
      </c>
      <c r="O22" s="47" t="n">
        <f aca="false">O21+N22</f>
        <v>4303.65</v>
      </c>
    </row>
    <row r="23" customFormat="false" ht="18" hidden="false" customHeight="true" outlineLevel="0" collapsed="false">
      <c r="B23" s="48" t="n">
        <v>16</v>
      </c>
      <c r="C23" s="49" t="s">
        <v>167</v>
      </c>
      <c r="D23" s="50" t="n">
        <v>445</v>
      </c>
      <c r="E23" s="51" t="n">
        <f aca="false">E22+D23</f>
        <v>4942</v>
      </c>
      <c r="F23" s="52" t="n">
        <f aca="false">ROUND(E23*Assumptions!$C$20,0)</f>
        <v>3459</v>
      </c>
      <c r="G23" s="52" t="n">
        <f aca="false">ROUND(D23*Assumptions!$C$18,0)</f>
        <v>13</v>
      </c>
      <c r="H23" s="52" t="n">
        <f aca="false">MAX(0,ROUND(H22*(1-Assumptions!$C$19)+G23,0))</f>
        <v>112</v>
      </c>
      <c r="I23" s="51" t="n">
        <f aca="false">MAX(0,F23-H23)</f>
        <v>3347</v>
      </c>
      <c r="J23" s="53" t="n">
        <f aca="false">ROUND(I23*Assumptions!$C$13*Assumptions!$C$14*Assumptions!$C$15/1000*Assumptions!$C$12,2)</f>
        <v>251.03</v>
      </c>
      <c r="K23" s="53" t="n">
        <f aca="false">ROUND(H23*Assumptions!$C$30,2)</f>
        <v>464.24</v>
      </c>
      <c r="L23" s="54" t="n">
        <f aca="false">J23+K23</f>
        <v>715.27</v>
      </c>
      <c r="M23" s="53" t="n">
        <f aca="false">IF(B23&lt;=3,Assumptions!$C$23,IF(B23&lt;=24,Assumptions!$C$24,Assumptions!$C$25))</f>
        <v>15</v>
      </c>
      <c r="N23" s="54" t="n">
        <f aca="false">L23-M23</f>
        <v>700.27</v>
      </c>
      <c r="O23" s="54" t="n">
        <f aca="false">O22+N23</f>
        <v>5003.92</v>
      </c>
    </row>
    <row r="24" customFormat="false" ht="18" hidden="false" customHeight="true" outlineLevel="0" collapsed="false">
      <c r="B24" s="41" t="n">
        <v>17</v>
      </c>
      <c r="C24" s="42" t="s">
        <v>168</v>
      </c>
      <c r="D24" s="43" t="n">
        <v>460</v>
      </c>
      <c r="E24" s="44" t="n">
        <f aca="false">E23+D24</f>
        <v>5402</v>
      </c>
      <c r="F24" s="45" t="n">
        <f aca="false">ROUND(E24*Assumptions!$C$20,0)</f>
        <v>3781</v>
      </c>
      <c r="G24" s="45" t="n">
        <f aca="false">ROUND(D24*Assumptions!$C$18,0)</f>
        <v>14</v>
      </c>
      <c r="H24" s="45" t="n">
        <f aca="false">MAX(0,ROUND(H23*(1-Assumptions!$C$19)+G24,0))</f>
        <v>120</v>
      </c>
      <c r="I24" s="44" t="n">
        <f aca="false">MAX(0,F24-H24)</f>
        <v>3661</v>
      </c>
      <c r="J24" s="46" t="n">
        <f aca="false">ROUND(I24*Assumptions!$C$13*Assumptions!$C$14*Assumptions!$C$15/1000*Assumptions!$C$12,2)</f>
        <v>274.58</v>
      </c>
      <c r="K24" s="46" t="n">
        <f aca="false">ROUND(H24*Assumptions!$C$30,2)</f>
        <v>497.4</v>
      </c>
      <c r="L24" s="47" t="n">
        <f aca="false">J24+K24</f>
        <v>771.98</v>
      </c>
      <c r="M24" s="46" t="n">
        <f aca="false">IF(B24&lt;=3,Assumptions!$C$23,IF(B24&lt;=24,Assumptions!$C$24,Assumptions!$C$25))</f>
        <v>15</v>
      </c>
      <c r="N24" s="47" t="n">
        <f aca="false">L24-M24</f>
        <v>756.98</v>
      </c>
      <c r="O24" s="47" t="n">
        <f aca="false">O23+N24</f>
        <v>5760.9</v>
      </c>
    </row>
    <row r="25" customFormat="false" ht="18" hidden="false" customHeight="true" outlineLevel="0" collapsed="false">
      <c r="B25" s="48" t="n">
        <v>18</v>
      </c>
      <c r="C25" s="49" t="s">
        <v>169</v>
      </c>
      <c r="D25" s="50" t="n">
        <v>475</v>
      </c>
      <c r="E25" s="51" t="n">
        <f aca="false">E24+D25</f>
        <v>5877</v>
      </c>
      <c r="F25" s="52" t="n">
        <f aca="false">ROUND(E25*Assumptions!$C$20,0)</f>
        <v>4114</v>
      </c>
      <c r="G25" s="52" t="n">
        <f aca="false">ROUND(D25*Assumptions!$C$18,0)</f>
        <v>14</v>
      </c>
      <c r="H25" s="52" t="n">
        <f aca="false">MAX(0,ROUND(H24*(1-Assumptions!$C$19)+G25,0))</f>
        <v>128</v>
      </c>
      <c r="I25" s="51" t="n">
        <f aca="false">MAX(0,F25-H25)</f>
        <v>3986</v>
      </c>
      <c r="J25" s="53" t="n">
        <f aca="false">ROUND(I25*Assumptions!$C$13*Assumptions!$C$14*Assumptions!$C$15/1000*Assumptions!$C$12,2)</f>
        <v>298.95</v>
      </c>
      <c r="K25" s="53" t="n">
        <f aca="false">ROUND(H25*Assumptions!$C$30,2)</f>
        <v>530.55</v>
      </c>
      <c r="L25" s="54" t="n">
        <f aca="false">J25+K25</f>
        <v>829.5</v>
      </c>
      <c r="M25" s="53" t="n">
        <f aca="false">IF(B25&lt;=3,Assumptions!$C$23,IF(B25&lt;=24,Assumptions!$C$24,Assumptions!$C$25))</f>
        <v>15</v>
      </c>
      <c r="N25" s="54" t="n">
        <f aca="false">L25-M25</f>
        <v>814.5</v>
      </c>
      <c r="O25" s="54" t="n">
        <f aca="false">O24+N25</f>
        <v>6575.4</v>
      </c>
    </row>
    <row r="26" customFormat="false" ht="18" hidden="false" customHeight="true" outlineLevel="0" collapsed="false">
      <c r="B26" s="41" t="n">
        <v>19</v>
      </c>
      <c r="C26" s="42" t="s">
        <v>170</v>
      </c>
      <c r="D26" s="43" t="n">
        <v>495</v>
      </c>
      <c r="E26" s="44" t="n">
        <f aca="false">E25+D26</f>
        <v>6372</v>
      </c>
      <c r="F26" s="45" t="n">
        <f aca="false">ROUND(E26*Assumptions!$C$20,0)</f>
        <v>4460</v>
      </c>
      <c r="G26" s="45" t="n">
        <f aca="false">ROUND(D26*Assumptions!$C$18,0)</f>
        <v>15</v>
      </c>
      <c r="H26" s="45" t="n">
        <f aca="false">MAX(0,ROUND(H25*(1-Assumptions!$C$19)+G26,0))</f>
        <v>137</v>
      </c>
      <c r="I26" s="44" t="n">
        <f aca="false">MAX(0,F26-H26)</f>
        <v>4323</v>
      </c>
      <c r="J26" s="46" t="n">
        <f aca="false">ROUND(I26*Assumptions!$C$13*Assumptions!$C$14*Assumptions!$C$15/1000*Assumptions!$C$12,2)</f>
        <v>324.23</v>
      </c>
      <c r="K26" s="46" t="n">
        <f aca="false">ROUND(H26*Assumptions!$C$30,2)</f>
        <v>567.86</v>
      </c>
      <c r="L26" s="47" t="n">
        <f aca="false">J26+K26</f>
        <v>892.09</v>
      </c>
      <c r="M26" s="46" t="n">
        <f aca="false">IF(B26&lt;=3,Assumptions!$C$23,IF(B26&lt;=24,Assumptions!$C$24,Assumptions!$C$25))</f>
        <v>15</v>
      </c>
      <c r="N26" s="47" t="n">
        <f aca="false">L26-M26</f>
        <v>877.09</v>
      </c>
      <c r="O26" s="47" t="n">
        <f aca="false">O25+N26</f>
        <v>7452.49</v>
      </c>
    </row>
    <row r="27" customFormat="false" ht="18" hidden="false" customHeight="true" outlineLevel="0" collapsed="false">
      <c r="B27" s="48" t="n">
        <v>20</v>
      </c>
      <c r="C27" s="49" t="s">
        <v>171</v>
      </c>
      <c r="D27" s="50" t="n">
        <v>515</v>
      </c>
      <c r="E27" s="51" t="n">
        <f aca="false">E26+D27</f>
        <v>6887</v>
      </c>
      <c r="F27" s="52" t="n">
        <f aca="false">ROUND(E27*Assumptions!$C$20,0)</f>
        <v>4821</v>
      </c>
      <c r="G27" s="52" t="n">
        <f aca="false">ROUND(D27*Assumptions!$C$18,0)</f>
        <v>15</v>
      </c>
      <c r="H27" s="52" t="n">
        <f aca="false">MAX(0,ROUND(H26*(1-Assumptions!$C$19)+G27,0))</f>
        <v>145</v>
      </c>
      <c r="I27" s="51" t="n">
        <f aca="false">MAX(0,F27-H27)</f>
        <v>4676</v>
      </c>
      <c r="J27" s="53" t="n">
        <f aca="false">ROUND(I27*Assumptions!$C$13*Assumptions!$C$14*Assumptions!$C$15/1000*Assumptions!$C$12,2)</f>
        <v>350.7</v>
      </c>
      <c r="K27" s="53" t="n">
        <f aca="false">ROUND(H27*Assumptions!$C$30,2)</f>
        <v>601.02</v>
      </c>
      <c r="L27" s="54" t="n">
        <f aca="false">J27+K27</f>
        <v>951.72</v>
      </c>
      <c r="M27" s="53" t="n">
        <f aca="false">IF(B27&lt;=3,Assumptions!$C$23,IF(B27&lt;=24,Assumptions!$C$24,Assumptions!$C$25))</f>
        <v>15</v>
      </c>
      <c r="N27" s="54" t="n">
        <f aca="false">L27-M27</f>
        <v>936.72</v>
      </c>
      <c r="O27" s="54" t="n">
        <f aca="false">O26+N27</f>
        <v>8389.21</v>
      </c>
    </row>
    <row r="28" customFormat="false" ht="18" hidden="false" customHeight="true" outlineLevel="0" collapsed="false">
      <c r="B28" s="41" t="n">
        <v>21</v>
      </c>
      <c r="C28" s="42" t="s">
        <v>172</v>
      </c>
      <c r="D28" s="43" t="n">
        <v>535</v>
      </c>
      <c r="E28" s="44" t="n">
        <f aca="false">E27+D28</f>
        <v>7422</v>
      </c>
      <c r="F28" s="45" t="n">
        <f aca="false">ROUND(E28*Assumptions!$C$20,0)</f>
        <v>5195</v>
      </c>
      <c r="G28" s="45" t="n">
        <f aca="false">ROUND(D28*Assumptions!$C$18,0)</f>
        <v>16</v>
      </c>
      <c r="H28" s="45" t="n">
        <f aca="false">MAX(0,ROUND(H27*(1-Assumptions!$C$19)+G28,0))</f>
        <v>154</v>
      </c>
      <c r="I28" s="44" t="n">
        <f aca="false">MAX(0,F28-H28)</f>
        <v>5041</v>
      </c>
      <c r="J28" s="46" t="n">
        <f aca="false">ROUND(I28*Assumptions!$C$13*Assumptions!$C$14*Assumptions!$C$15/1000*Assumptions!$C$12,2)</f>
        <v>378.08</v>
      </c>
      <c r="K28" s="46" t="n">
        <f aca="false">ROUND(H28*Assumptions!$C$30,2)</f>
        <v>638.32</v>
      </c>
      <c r="L28" s="47" t="n">
        <f aca="false">J28+K28</f>
        <v>1016.4</v>
      </c>
      <c r="M28" s="46" t="n">
        <f aca="false">IF(B28&lt;=3,Assumptions!$C$23,IF(B28&lt;=24,Assumptions!$C$24,Assumptions!$C$25))</f>
        <v>15</v>
      </c>
      <c r="N28" s="47" t="n">
        <f aca="false">L28-M28</f>
        <v>1001.4</v>
      </c>
      <c r="O28" s="47" t="n">
        <f aca="false">O27+N28</f>
        <v>9390.61</v>
      </c>
    </row>
    <row r="29" customFormat="false" ht="18" hidden="false" customHeight="true" outlineLevel="0" collapsed="false">
      <c r="B29" s="48" t="n">
        <v>22</v>
      </c>
      <c r="C29" s="49" t="s">
        <v>173</v>
      </c>
      <c r="D29" s="50" t="n">
        <v>560</v>
      </c>
      <c r="E29" s="51" t="n">
        <f aca="false">E28+D29</f>
        <v>7982</v>
      </c>
      <c r="F29" s="52" t="n">
        <f aca="false">ROUND(E29*Assumptions!$C$20,0)</f>
        <v>5587</v>
      </c>
      <c r="G29" s="52" t="n">
        <f aca="false">ROUND(D29*Assumptions!$C$18,0)</f>
        <v>17</v>
      </c>
      <c r="H29" s="52" t="n">
        <f aca="false">MAX(0,ROUND(H28*(1-Assumptions!$C$19)+G29,0))</f>
        <v>163</v>
      </c>
      <c r="I29" s="51" t="n">
        <f aca="false">MAX(0,F29-H29)</f>
        <v>5424</v>
      </c>
      <c r="J29" s="53" t="n">
        <f aca="false">ROUND(I29*Assumptions!$C$13*Assumptions!$C$14*Assumptions!$C$15/1000*Assumptions!$C$12,2)</f>
        <v>406.8</v>
      </c>
      <c r="K29" s="53" t="n">
        <f aca="false">ROUND(H29*Assumptions!$C$30,2)</f>
        <v>675.63</v>
      </c>
      <c r="L29" s="54" t="n">
        <f aca="false">J29+K29</f>
        <v>1082.43</v>
      </c>
      <c r="M29" s="53" t="n">
        <f aca="false">IF(B29&lt;=3,Assumptions!$C$23,IF(B29&lt;=24,Assumptions!$C$24,Assumptions!$C$25))</f>
        <v>15</v>
      </c>
      <c r="N29" s="54" t="n">
        <f aca="false">L29-M29</f>
        <v>1067.43</v>
      </c>
      <c r="O29" s="54" t="n">
        <f aca="false">O28+N29</f>
        <v>10458.04</v>
      </c>
    </row>
    <row r="30" customFormat="false" ht="18" hidden="false" customHeight="true" outlineLevel="0" collapsed="false">
      <c r="B30" s="41" t="n">
        <v>23</v>
      </c>
      <c r="C30" s="42" t="s">
        <v>174</v>
      </c>
      <c r="D30" s="43" t="n">
        <v>585</v>
      </c>
      <c r="E30" s="44" t="n">
        <f aca="false">E29+D30</f>
        <v>8567</v>
      </c>
      <c r="F30" s="45" t="n">
        <f aca="false">ROUND(E30*Assumptions!$C$20,0)</f>
        <v>5997</v>
      </c>
      <c r="G30" s="45" t="n">
        <f aca="false">ROUND(D30*Assumptions!$C$18,0)</f>
        <v>18</v>
      </c>
      <c r="H30" s="45" t="n">
        <f aca="false">MAX(0,ROUND(H29*(1-Assumptions!$C$19)+G30,0))</f>
        <v>173</v>
      </c>
      <c r="I30" s="44" t="n">
        <f aca="false">MAX(0,F30-H30)</f>
        <v>5824</v>
      </c>
      <c r="J30" s="46" t="n">
        <f aca="false">ROUND(I30*Assumptions!$C$13*Assumptions!$C$14*Assumptions!$C$15/1000*Assumptions!$C$12,2)</f>
        <v>436.8</v>
      </c>
      <c r="K30" s="46" t="n">
        <f aca="false">ROUND(H30*Assumptions!$C$30,2)</f>
        <v>717.08</v>
      </c>
      <c r="L30" s="47" t="n">
        <f aca="false">J30+K30</f>
        <v>1153.88</v>
      </c>
      <c r="M30" s="46" t="n">
        <f aca="false">IF(B30&lt;=3,Assumptions!$C$23,IF(B30&lt;=24,Assumptions!$C$24,Assumptions!$C$25))</f>
        <v>15</v>
      </c>
      <c r="N30" s="47" t="n">
        <f aca="false">L30-M30</f>
        <v>1138.88</v>
      </c>
      <c r="O30" s="47" t="n">
        <f aca="false">O29+N30</f>
        <v>11596.92</v>
      </c>
    </row>
    <row r="31" customFormat="false" ht="18" hidden="false" customHeight="true" outlineLevel="0" collapsed="false">
      <c r="B31" s="48" t="n">
        <v>24</v>
      </c>
      <c r="C31" s="49" t="s">
        <v>175</v>
      </c>
      <c r="D31" s="50" t="n">
        <v>615</v>
      </c>
      <c r="E31" s="51" t="n">
        <f aca="false">E30+D31</f>
        <v>9182</v>
      </c>
      <c r="F31" s="52" t="n">
        <f aca="false">ROUND(E31*Assumptions!$C$20,0)</f>
        <v>6427</v>
      </c>
      <c r="G31" s="52" t="n">
        <f aca="false">ROUND(D31*Assumptions!$C$18,0)</f>
        <v>18</v>
      </c>
      <c r="H31" s="52" t="n">
        <f aca="false">MAX(0,ROUND(H30*(1-Assumptions!$C$19)+G31,0))</f>
        <v>182</v>
      </c>
      <c r="I31" s="51" t="n">
        <f aca="false">MAX(0,F31-H31)</f>
        <v>6245</v>
      </c>
      <c r="J31" s="53" t="n">
        <f aca="false">ROUND(I31*Assumptions!$C$13*Assumptions!$C$14*Assumptions!$C$15/1000*Assumptions!$C$12,2)</f>
        <v>468.38</v>
      </c>
      <c r="K31" s="53" t="n">
        <f aca="false">ROUND(H31*Assumptions!$C$30,2)</f>
        <v>754.38</v>
      </c>
      <c r="L31" s="54" t="n">
        <f aca="false">J31+K31</f>
        <v>1222.76</v>
      </c>
      <c r="M31" s="53" t="n">
        <f aca="false">IF(B31&lt;=3,Assumptions!$C$23,IF(B31&lt;=24,Assumptions!$C$24,Assumptions!$C$25))</f>
        <v>15</v>
      </c>
      <c r="N31" s="54" t="n">
        <f aca="false">L31-M31</f>
        <v>1207.76</v>
      </c>
      <c r="O31" s="54" t="n">
        <f aca="false">O30+N31</f>
        <v>12804.68</v>
      </c>
    </row>
    <row r="32" customFormat="false" ht="21.75" hidden="false" customHeight="true" outlineLevel="0" collapsed="false">
      <c r="B32" s="36" t="s">
        <v>176</v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</row>
    <row r="33" customFormat="false" ht="36" hidden="false" customHeight="true" outlineLevel="0" collapsed="false">
      <c r="B33" s="40" t="s">
        <v>137</v>
      </c>
      <c r="C33" s="40" t="s">
        <v>138</v>
      </c>
      <c r="D33" s="40" t="s">
        <v>139</v>
      </c>
      <c r="E33" s="40" t="s">
        <v>140</v>
      </c>
      <c r="F33" s="40" t="s">
        <v>141</v>
      </c>
      <c r="G33" s="40" t="s">
        <v>142</v>
      </c>
      <c r="H33" s="40" t="s">
        <v>143</v>
      </c>
      <c r="I33" s="40" t="s">
        <v>144</v>
      </c>
      <c r="J33" s="40" t="s">
        <v>145</v>
      </c>
      <c r="K33" s="40" t="s">
        <v>146</v>
      </c>
      <c r="L33" s="40" t="s">
        <v>147</v>
      </c>
      <c r="M33" s="40" t="s">
        <v>148</v>
      </c>
      <c r="N33" s="40" t="s">
        <v>149</v>
      </c>
      <c r="O33" s="40" t="s">
        <v>150</v>
      </c>
    </row>
    <row r="34" customFormat="false" ht="18" hidden="false" customHeight="true" outlineLevel="0" collapsed="false">
      <c r="B34" s="41" t="n">
        <v>25</v>
      </c>
      <c r="C34" s="42" t="s">
        <v>177</v>
      </c>
      <c r="D34" s="43" t="n">
        <v>645</v>
      </c>
      <c r="E34" s="44" t="n">
        <f aca="false">E31+D34</f>
        <v>9827</v>
      </c>
      <c r="F34" s="45" t="n">
        <f aca="false">ROUND(E34*Assumptions!$C$20,0)</f>
        <v>6879</v>
      </c>
      <c r="G34" s="45" t="n">
        <f aca="false">ROUND(D34*Assumptions!$C$18,0)</f>
        <v>19</v>
      </c>
      <c r="H34" s="45" t="n">
        <f aca="false">MAX(0,ROUND(H31*(1-Assumptions!$C$19)+G34,0))</f>
        <v>192</v>
      </c>
      <c r="I34" s="44" t="n">
        <f aca="false">MAX(0,F34-H34)</f>
        <v>6687</v>
      </c>
      <c r="J34" s="46" t="n">
        <f aca="false">ROUND(I34*Assumptions!$C$13*Assumptions!$C$14*Assumptions!$C$15/1000*Assumptions!$C$12,2)</f>
        <v>501.53</v>
      </c>
      <c r="K34" s="46" t="n">
        <f aca="false">ROUND(H34*Assumptions!$C$30,2)</f>
        <v>795.83</v>
      </c>
      <c r="L34" s="47" t="n">
        <f aca="false">J34+K34</f>
        <v>1297.36</v>
      </c>
      <c r="M34" s="46" t="n">
        <f aca="false">IF(B34&lt;=3,Assumptions!$C$23,IF(B34&lt;=24,Assumptions!$C$24,Assumptions!$C$25))</f>
        <v>30</v>
      </c>
      <c r="N34" s="47" t="n">
        <f aca="false">L34-M34</f>
        <v>1267.36</v>
      </c>
      <c r="O34" s="47" t="n">
        <f aca="false">O31+N34</f>
        <v>14072.04</v>
      </c>
    </row>
    <row r="35" customFormat="false" ht="18" hidden="false" customHeight="true" outlineLevel="0" collapsed="false">
      <c r="B35" s="48" t="n">
        <v>26</v>
      </c>
      <c r="C35" s="49" t="s">
        <v>178</v>
      </c>
      <c r="D35" s="50" t="n">
        <v>680</v>
      </c>
      <c r="E35" s="51" t="n">
        <f aca="false">E34+D35</f>
        <v>10507</v>
      </c>
      <c r="F35" s="52" t="n">
        <f aca="false">ROUND(E35*Assumptions!$C$20,0)</f>
        <v>7355</v>
      </c>
      <c r="G35" s="52" t="n">
        <f aca="false">ROUND(D35*Assumptions!$C$18,0)</f>
        <v>20</v>
      </c>
      <c r="H35" s="52" t="n">
        <f aca="false">MAX(0,ROUND(H34*(1-Assumptions!$C$19)+G35,0))</f>
        <v>202</v>
      </c>
      <c r="I35" s="51" t="n">
        <f aca="false">MAX(0,F35-H35)</f>
        <v>7153</v>
      </c>
      <c r="J35" s="53" t="n">
        <f aca="false">ROUND(I35*Assumptions!$C$13*Assumptions!$C$14*Assumptions!$C$15/1000*Assumptions!$C$12,2)</f>
        <v>536.48</v>
      </c>
      <c r="K35" s="53" t="n">
        <f aca="false">ROUND(H35*Assumptions!$C$30,2)</f>
        <v>837.28</v>
      </c>
      <c r="L35" s="54" t="n">
        <f aca="false">J35+K35</f>
        <v>1373.76</v>
      </c>
      <c r="M35" s="53" t="n">
        <f aca="false">IF(B35&lt;=3,Assumptions!$C$23,IF(B35&lt;=24,Assumptions!$C$24,Assumptions!$C$25))</f>
        <v>30</v>
      </c>
      <c r="N35" s="54" t="n">
        <f aca="false">L35-M35</f>
        <v>1343.76</v>
      </c>
      <c r="O35" s="54" t="n">
        <f aca="false">O34+N35</f>
        <v>15415.8</v>
      </c>
    </row>
    <row r="36" customFormat="false" ht="18" hidden="false" customHeight="true" outlineLevel="0" collapsed="false">
      <c r="B36" s="41" t="n">
        <v>27</v>
      </c>
      <c r="C36" s="42" t="s">
        <v>179</v>
      </c>
      <c r="D36" s="43" t="n">
        <v>715</v>
      </c>
      <c r="E36" s="44" t="n">
        <f aca="false">E35+D36</f>
        <v>11222</v>
      </c>
      <c r="F36" s="45" t="n">
        <f aca="false">ROUND(E36*Assumptions!$C$20,0)</f>
        <v>7855</v>
      </c>
      <c r="G36" s="45" t="n">
        <f aca="false">ROUND(D36*Assumptions!$C$18,0)</f>
        <v>21</v>
      </c>
      <c r="H36" s="45" t="n">
        <f aca="false">MAX(0,ROUND(H35*(1-Assumptions!$C$19)+G36,0))</f>
        <v>213</v>
      </c>
      <c r="I36" s="44" t="n">
        <f aca="false">MAX(0,F36-H36)</f>
        <v>7642</v>
      </c>
      <c r="J36" s="46" t="n">
        <f aca="false">ROUND(I36*Assumptions!$C$13*Assumptions!$C$14*Assumptions!$C$15/1000*Assumptions!$C$12,2)</f>
        <v>573.15</v>
      </c>
      <c r="K36" s="46" t="n">
        <f aca="false">ROUND(H36*Assumptions!$C$30,2)</f>
        <v>882.88</v>
      </c>
      <c r="L36" s="47" t="n">
        <f aca="false">J36+K36</f>
        <v>1456.03</v>
      </c>
      <c r="M36" s="46" t="n">
        <f aca="false">IF(B36&lt;=3,Assumptions!$C$23,IF(B36&lt;=24,Assumptions!$C$24,Assumptions!$C$25))</f>
        <v>30</v>
      </c>
      <c r="N36" s="47" t="n">
        <f aca="false">L36-M36</f>
        <v>1426.03</v>
      </c>
      <c r="O36" s="47" t="n">
        <f aca="false">O35+N36</f>
        <v>16841.83</v>
      </c>
    </row>
    <row r="37" customFormat="false" ht="18" hidden="false" customHeight="true" outlineLevel="0" collapsed="false">
      <c r="B37" s="48" t="n">
        <v>28</v>
      </c>
      <c r="C37" s="49" t="s">
        <v>180</v>
      </c>
      <c r="D37" s="50" t="n">
        <v>750</v>
      </c>
      <c r="E37" s="51" t="n">
        <f aca="false">E36+D37</f>
        <v>11972</v>
      </c>
      <c r="F37" s="52" t="n">
        <f aca="false">ROUND(E37*Assumptions!$C$20,0)</f>
        <v>8380</v>
      </c>
      <c r="G37" s="52" t="n">
        <f aca="false">ROUND(D37*Assumptions!$C$18,0)</f>
        <v>23</v>
      </c>
      <c r="H37" s="52" t="n">
        <f aca="false">MAX(0,ROUND(H36*(1-Assumptions!$C$19)+G37,0))</f>
        <v>225</v>
      </c>
      <c r="I37" s="51" t="n">
        <f aca="false">MAX(0,F37-H37)</f>
        <v>8155</v>
      </c>
      <c r="J37" s="53" t="n">
        <f aca="false">ROUND(I37*Assumptions!$C$13*Assumptions!$C$14*Assumptions!$C$15/1000*Assumptions!$C$12,2)</f>
        <v>611.63</v>
      </c>
      <c r="K37" s="53" t="n">
        <f aca="false">ROUND(H37*Assumptions!$C$30,2)</f>
        <v>932.62</v>
      </c>
      <c r="L37" s="54" t="n">
        <f aca="false">J37+K37</f>
        <v>1544.25</v>
      </c>
      <c r="M37" s="53" t="n">
        <f aca="false">IF(B37&lt;=3,Assumptions!$C$23,IF(B37&lt;=24,Assumptions!$C$24,Assumptions!$C$25))</f>
        <v>30</v>
      </c>
      <c r="N37" s="54" t="n">
        <f aca="false">L37-M37</f>
        <v>1514.25</v>
      </c>
      <c r="O37" s="54" t="n">
        <f aca="false">O36+N37</f>
        <v>18356.08</v>
      </c>
    </row>
    <row r="38" customFormat="false" ht="18" hidden="false" customHeight="true" outlineLevel="0" collapsed="false">
      <c r="B38" s="41" t="n">
        <v>29</v>
      </c>
      <c r="C38" s="42" t="s">
        <v>181</v>
      </c>
      <c r="D38" s="43" t="n">
        <v>785</v>
      </c>
      <c r="E38" s="44" t="n">
        <f aca="false">E37+D38</f>
        <v>12757</v>
      </c>
      <c r="F38" s="45" t="n">
        <f aca="false">ROUND(E38*Assumptions!$C$20,0)</f>
        <v>8930</v>
      </c>
      <c r="G38" s="45" t="n">
        <f aca="false">ROUND(D38*Assumptions!$C$18,0)</f>
        <v>24</v>
      </c>
      <c r="H38" s="45" t="n">
        <f aca="false">MAX(0,ROUND(H37*(1-Assumptions!$C$19)+G38,0))</f>
        <v>238</v>
      </c>
      <c r="I38" s="44" t="n">
        <f aca="false">MAX(0,F38-H38)</f>
        <v>8692</v>
      </c>
      <c r="J38" s="46" t="n">
        <f aca="false">ROUND(I38*Assumptions!$C$13*Assumptions!$C$14*Assumptions!$C$15/1000*Assumptions!$C$12,2)</f>
        <v>651.9</v>
      </c>
      <c r="K38" s="46" t="n">
        <f aca="false">ROUND(H38*Assumptions!$C$30,2)</f>
        <v>986.5</v>
      </c>
      <c r="L38" s="47" t="n">
        <f aca="false">J38+K38</f>
        <v>1638.4</v>
      </c>
      <c r="M38" s="46" t="n">
        <f aca="false">IF(B38&lt;=3,Assumptions!$C$23,IF(B38&lt;=24,Assumptions!$C$24,Assumptions!$C$25))</f>
        <v>30</v>
      </c>
      <c r="N38" s="47" t="n">
        <f aca="false">L38-M38</f>
        <v>1608.4</v>
      </c>
      <c r="O38" s="47" t="n">
        <f aca="false">O37+N38</f>
        <v>19964.48</v>
      </c>
    </row>
    <row r="39" customFormat="false" ht="18" hidden="false" customHeight="true" outlineLevel="0" collapsed="false">
      <c r="B39" s="48" t="n">
        <v>30</v>
      </c>
      <c r="C39" s="49" t="s">
        <v>182</v>
      </c>
      <c r="D39" s="50" t="n">
        <v>825</v>
      </c>
      <c r="E39" s="51" t="n">
        <f aca="false">E38+D39</f>
        <v>13582</v>
      </c>
      <c r="F39" s="52" t="n">
        <f aca="false">ROUND(E39*Assumptions!$C$20,0)</f>
        <v>9507</v>
      </c>
      <c r="G39" s="52" t="n">
        <f aca="false">ROUND(D39*Assumptions!$C$18,0)</f>
        <v>25</v>
      </c>
      <c r="H39" s="52" t="n">
        <f aca="false">MAX(0,ROUND(H38*(1-Assumptions!$C$19)+G39,0))</f>
        <v>251</v>
      </c>
      <c r="I39" s="51" t="n">
        <f aca="false">MAX(0,F39-H39)</f>
        <v>9256</v>
      </c>
      <c r="J39" s="53" t="n">
        <f aca="false">ROUND(I39*Assumptions!$C$13*Assumptions!$C$14*Assumptions!$C$15/1000*Assumptions!$C$12,2)</f>
        <v>694.2</v>
      </c>
      <c r="K39" s="53" t="n">
        <f aca="false">ROUND(H39*Assumptions!$C$30,2)</f>
        <v>1040.39</v>
      </c>
      <c r="L39" s="54" t="n">
        <f aca="false">J39+K39</f>
        <v>1734.59</v>
      </c>
      <c r="M39" s="53" t="n">
        <f aca="false">IF(B39&lt;=3,Assumptions!$C$23,IF(B39&lt;=24,Assumptions!$C$24,Assumptions!$C$25))</f>
        <v>30</v>
      </c>
      <c r="N39" s="54" t="n">
        <f aca="false">L39-M39</f>
        <v>1704.59</v>
      </c>
      <c r="O39" s="54" t="n">
        <f aca="false">O38+N39</f>
        <v>21669.07</v>
      </c>
    </row>
    <row r="40" customFormat="false" ht="18" hidden="false" customHeight="true" outlineLevel="0" collapsed="false">
      <c r="B40" s="41" t="n">
        <v>31</v>
      </c>
      <c r="C40" s="42" t="s">
        <v>183</v>
      </c>
      <c r="D40" s="43" t="n">
        <v>865</v>
      </c>
      <c r="E40" s="44" t="n">
        <f aca="false">E39+D40</f>
        <v>14447</v>
      </c>
      <c r="F40" s="45" t="n">
        <f aca="false">ROUND(E40*Assumptions!$C$20,0)</f>
        <v>10113</v>
      </c>
      <c r="G40" s="45" t="n">
        <f aca="false">ROUND(D40*Assumptions!$C$18,0)</f>
        <v>26</v>
      </c>
      <c r="H40" s="45" t="n">
        <f aca="false">MAX(0,ROUND(H39*(1-Assumptions!$C$19)+G40,0))</f>
        <v>264</v>
      </c>
      <c r="I40" s="44" t="n">
        <f aca="false">MAX(0,F40-H40)</f>
        <v>9849</v>
      </c>
      <c r="J40" s="46" t="n">
        <f aca="false">ROUND(I40*Assumptions!$C$13*Assumptions!$C$14*Assumptions!$C$15/1000*Assumptions!$C$12,2)</f>
        <v>738.68</v>
      </c>
      <c r="K40" s="46" t="n">
        <f aca="false">ROUND(H40*Assumptions!$C$30,2)</f>
        <v>1094.27</v>
      </c>
      <c r="L40" s="47" t="n">
        <f aca="false">J40+K40</f>
        <v>1832.95</v>
      </c>
      <c r="M40" s="46" t="n">
        <f aca="false">IF(B40&lt;=3,Assumptions!$C$23,IF(B40&lt;=24,Assumptions!$C$24,Assumptions!$C$25))</f>
        <v>30</v>
      </c>
      <c r="N40" s="47" t="n">
        <f aca="false">L40-M40</f>
        <v>1802.95</v>
      </c>
      <c r="O40" s="47" t="n">
        <f aca="false">O39+N40</f>
        <v>23472.02</v>
      </c>
    </row>
    <row r="41" customFormat="false" ht="18" hidden="false" customHeight="true" outlineLevel="0" collapsed="false">
      <c r="B41" s="48" t="n">
        <v>32</v>
      </c>
      <c r="C41" s="49" t="s">
        <v>184</v>
      </c>
      <c r="D41" s="50" t="n">
        <v>905</v>
      </c>
      <c r="E41" s="51" t="n">
        <f aca="false">E40+D41</f>
        <v>15352</v>
      </c>
      <c r="F41" s="52" t="n">
        <f aca="false">ROUND(E41*Assumptions!$C$20,0)</f>
        <v>10746</v>
      </c>
      <c r="G41" s="52" t="n">
        <f aca="false">ROUND(D41*Assumptions!$C$18,0)</f>
        <v>27</v>
      </c>
      <c r="H41" s="52" t="n">
        <f aca="false">MAX(0,ROUND(H40*(1-Assumptions!$C$19)+G41,0))</f>
        <v>278</v>
      </c>
      <c r="I41" s="51" t="n">
        <f aca="false">MAX(0,F41-H41)</f>
        <v>10468</v>
      </c>
      <c r="J41" s="53" t="n">
        <f aca="false">ROUND(I41*Assumptions!$C$13*Assumptions!$C$14*Assumptions!$C$15/1000*Assumptions!$C$12,2)</f>
        <v>785.1</v>
      </c>
      <c r="K41" s="53" t="n">
        <f aca="false">ROUND(H41*Assumptions!$C$30,2)</f>
        <v>1152.3</v>
      </c>
      <c r="L41" s="54" t="n">
        <f aca="false">J41+K41</f>
        <v>1937.4</v>
      </c>
      <c r="M41" s="53" t="n">
        <f aca="false">IF(B41&lt;=3,Assumptions!$C$23,IF(B41&lt;=24,Assumptions!$C$24,Assumptions!$C$25))</f>
        <v>30</v>
      </c>
      <c r="N41" s="54" t="n">
        <f aca="false">L41-M41</f>
        <v>1907.4</v>
      </c>
      <c r="O41" s="54" t="n">
        <f aca="false">O40+N41</f>
        <v>25379.42</v>
      </c>
    </row>
    <row r="42" customFormat="false" ht="18" hidden="false" customHeight="true" outlineLevel="0" collapsed="false">
      <c r="B42" s="41" t="n">
        <v>33</v>
      </c>
      <c r="C42" s="42" t="s">
        <v>185</v>
      </c>
      <c r="D42" s="43" t="n">
        <v>950</v>
      </c>
      <c r="E42" s="44" t="n">
        <f aca="false">E41+D42</f>
        <v>16302</v>
      </c>
      <c r="F42" s="45" t="n">
        <f aca="false">ROUND(E42*Assumptions!$C$20,0)</f>
        <v>11411</v>
      </c>
      <c r="G42" s="45" t="n">
        <f aca="false">ROUND(D42*Assumptions!$C$18,0)</f>
        <v>29</v>
      </c>
      <c r="H42" s="45" t="n">
        <f aca="false">MAX(0,ROUND(H41*(1-Assumptions!$C$19)+G42,0))</f>
        <v>293</v>
      </c>
      <c r="I42" s="44" t="n">
        <f aca="false">MAX(0,F42-H42)</f>
        <v>11118</v>
      </c>
      <c r="J42" s="46" t="n">
        <f aca="false">ROUND(I42*Assumptions!$C$13*Assumptions!$C$14*Assumptions!$C$15/1000*Assumptions!$C$12,2)</f>
        <v>833.85</v>
      </c>
      <c r="K42" s="46" t="n">
        <f aca="false">ROUND(H42*Assumptions!$C$30,2)</f>
        <v>1214.47</v>
      </c>
      <c r="L42" s="47" t="n">
        <f aca="false">J42+K42</f>
        <v>2048.32</v>
      </c>
      <c r="M42" s="46" t="n">
        <f aca="false">IF(B42&lt;=3,Assumptions!$C$23,IF(B42&lt;=24,Assumptions!$C$24,Assumptions!$C$25))</f>
        <v>30</v>
      </c>
      <c r="N42" s="47" t="n">
        <f aca="false">L42-M42</f>
        <v>2018.32</v>
      </c>
      <c r="O42" s="47" t="n">
        <f aca="false">O41+N42</f>
        <v>27397.74</v>
      </c>
    </row>
    <row r="43" customFormat="false" ht="18" hidden="false" customHeight="true" outlineLevel="0" collapsed="false">
      <c r="B43" s="48" t="n">
        <v>34</v>
      </c>
      <c r="C43" s="49" t="s">
        <v>186</v>
      </c>
      <c r="D43" s="50" t="n">
        <v>995</v>
      </c>
      <c r="E43" s="51" t="n">
        <f aca="false">E42+D43</f>
        <v>17297</v>
      </c>
      <c r="F43" s="52" t="n">
        <f aca="false">ROUND(E43*Assumptions!$C$20,0)</f>
        <v>12108</v>
      </c>
      <c r="G43" s="52" t="n">
        <f aca="false">ROUND(D43*Assumptions!$C$18,0)</f>
        <v>30</v>
      </c>
      <c r="H43" s="52" t="n">
        <f aca="false">MAX(0,ROUND(H42*(1-Assumptions!$C$19)+G43,0))</f>
        <v>308</v>
      </c>
      <c r="I43" s="51" t="n">
        <f aca="false">MAX(0,F43-H43)</f>
        <v>11800</v>
      </c>
      <c r="J43" s="53" t="n">
        <f aca="false">ROUND(I43*Assumptions!$C$13*Assumptions!$C$14*Assumptions!$C$15/1000*Assumptions!$C$12,2)</f>
        <v>885</v>
      </c>
      <c r="K43" s="53" t="n">
        <f aca="false">ROUND(H43*Assumptions!$C$30,2)</f>
        <v>1276.65</v>
      </c>
      <c r="L43" s="54" t="n">
        <f aca="false">J43+K43</f>
        <v>2161.65</v>
      </c>
      <c r="M43" s="53" t="n">
        <f aca="false">IF(B43&lt;=3,Assumptions!$C$23,IF(B43&lt;=24,Assumptions!$C$24,Assumptions!$C$25))</f>
        <v>30</v>
      </c>
      <c r="N43" s="54" t="n">
        <f aca="false">L43-M43</f>
        <v>2131.65</v>
      </c>
      <c r="O43" s="54" t="n">
        <f aca="false">O42+N43</f>
        <v>29529.39</v>
      </c>
    </row>
    <row r="44" customFormat="false" ht="18" hidden="false" customHeight="true" outlineLevel="0" collapsed="false">
      <c r="B44" s="41" t="n">
        <v>35</v>
      </c>
      <c r="C44" s="42" t="s">
        <v>187</v>
      </c>
      <c r="D44" s="43" t="n">
        <v>1040</v>
      </c>
      <c r="E44" s="44" t="n">
        <f aca="false">E43+D44</f>
        <v>18337</v>
      </c>
      <c r="F44" s="45" t="n">
        <f aca="false">ROUND(E44*Assumptions!$C$20,0)</f>
        <v>12836</v>
      </c>
      <c r="G44" s="45" t="n">
        <f aca="false">ROUND(D44*Assumptions!$C$18,0)</f>
        <v>31</v>
      </c>
      <c r="H44" s="45" t="n">
        <f aca="false">MAX(0,ROUND(H43*(1-Assumptions!$C$19)+G44,0))</f>
        <v>324</v>
      </c>
      <c r="I44" s="44" t="n">
        <f aca="false">MAX(0,F44-H44)</f>
        <v>12512</v>
      </c>
      <c r="J44" s="46" t="n">
        <f aca="false">ROUND(I44*Assumptions!$C$13*Assumptions!$C$14*Assumptions!$C$15/1000*Assumptions!$C$12,2)</f>
        <v>938.4</v>
      </c>
      <c r="K44" s="46" t="n">
        <f aca="false">ROUND(H44*Assumptions!$C$30,2)</f>
        <v>1342.97</v>
      </c>
      <c r="L44" s="47" t="n">
        <f aca="false">J44+K44</f>
        <v>2281.37</v>
      </c>
      <c r="M44" s="46" t="n">
        <f aca="false">IF(B44&lt;=3,Assumptions!$C$23,IF(B44&lt;=24,Assumptions!$C$24,Assumptions!$C$25))</f>
        <v>30</v>
      </c>
      <c r="N44" s="47" t="n">
        <f aca="false">L44-M44</f>
        <v>2251.37</v>
      </c>
      <c r="O44" s="47" t="n">
        <f aca="false">O43+N44</f>
        <v>31780.76</v>
      </c>
    </row>
    <row r="45" customFormat="false" ht="18" hidden="false" customHeight="true" outlineLevel="0" collapsed="false">
      <c r="B45" s="48" t="n">
        <v>36</v>
      </c>
      <c r="C45" s="49" t="s">
        <v>188</v>
      </c>
      <c r="D45" s="50" t="n">
        <v>1090</v>
      </c>
      <c r="E45" s="51" t="n">
        <f aca="false">E44+D45</f>
        <v>19427</v>
      </c>
      <c r="F45" s="52" t="n">
        <f aca="false">ROUND(E45*Assumptions!$C$20,0)</f>
        <v>13599</v>
      </c>
      <c r="G45" s="52" t="n">
        <f aca="false">ROUND(D45*Assumptions!$C$18,0)</f>
        <v>33</v>
      </c>
      <c r="H45" s="52" t="n">
        <f aca="false">MAX(0,ROUND(H44*(1-Assumptions!$C$19)+G45,0))</f>
        <v>341</v>
      </c>
      <c r="I45" s="51" t="n">
        <f aca="false">MAX(0,F45-H45)</f>
        <v>13258</v>
      </c>
      <c r="J45" s="53" t="n">
        <f aca="false">ROUND(I45*Assumptions!$C$13*Assumptions!$C$14*Assumptions!$C$15/1000*Assumptions!$C$12,2)</f>
        <v>994.35</v>
      </c>
      <c r="K45" s="53" t="n">
        <f aca="false">ROUND(H45*Assumptions!$C$30,2)</f>
        <v>1413.43</v>
      </c>
      <c r="L45" s="54" t="n">
        <f aca="false">J45+K45</f>
        <v>2407.78</v>
      </c>
      <c r="M45" s="53" t="n">
        <f aca="false">IF(B45&lt;=3,Assumptions!$C$23,IF(B45&lt;=24,Assumptions!$C$24,Assumptions!$C$25))</f>
        <v>30</v>
      </c>
      <c r="N45" s="54" t="n">
        <f aca="false">L45-M45</f>
        <v>2377.78</v>
      </c>
      <c r="O45" s="54" t="n">
        <f aca="false">O44+N45</f>
        <v>34158.54</v>
      </c>
    </row>
    <row r="46" customFormat="false" ht="9.75" hidden="false" customHeight="true" outlineLevel="0" collapsed="false"/>
    <row r="47" customFormat="false" ht="21.75" hidden="false" customHeight="true" outlineLevel="0" collapsed="false">
      <c r="B47" s="36" t="s">
        <v>189</v>
      </c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</row>
    <row r="48" customFormat="false" ht="36" hidden="false" customHeight="true" outlineLevel="0" collapsed="false">
      <c r="B48" s="40" t="s">
        <v>190</v>
      </c>
      <c r="C48" s="40" t="s">
        <v>138</v>
      </c>
      <c r="D48" s="40" t="s">
        <v>191</v>
      </c>
      <c r="E48" s="40" t="s">
        <v>192</v>
      </c>
      <c r="F48" s="40" t="s">
        <v>193</v>
      </c>
      <c r="G48" s="40"/>
      <c r="H48" s="40" t="s">
        <v>194</v>
      </c>
      <c r="I48" s="40" t="s">
        <v>195</v>
      </c>
      <c r="J48" s="40" t="s">
        <v>196</v>
      </c>
      <c r="K48" s="40" t="s">
        <v>197</v>
      </c>
      <c r="L48" s="40" t="s">
        <v>198</v>
      </c>
      <c r="M48" s="40" t="s">
        <v>199</v>
      </c>
      <c r="N48" s="40" t="s">
        <v>200</v>
      </c>
      <c r="O48" s="40" t="s">
        <v>201</v>
      </c>
    </row>
    <row r="49" customFormat="false" ht="21.75" hidden="false" customHeight="true" outlineLevel="0" collapsed="false">
      <c r="B49" s="55" t="n">
        <v>1</v>
      </c>
      <c r="C49" s="56" t="s">
        <v>202</v>
      </c>
      <c r="D49" s="57" t="n">
        <f aca="false">SUM(D6:D17)</f>
        <v>3252</v>
      </c>
      <c r="E49" s="57" t="n">
        <f aca="false">E17</f>
        <v>3252</v>
      </c>
      <c r="F49" s="57" t="n">
        <f aca="false">F17</f>
        <v>2276</v>
      </c>
      <c r="G49" s="58"/>
      <c r="H49" s="57" t="n">
        <f aca="false">H17</f>
        <v>80</v>
      </c>
      <c r="I49" s="57" t="n">
        <f aca="false">I17</f>
        <v>2196</v>
      </c>
      <c r="J49" s="59" t="n">
        <f aca="false">SUM(J6:J17)</f>
        <v>853.52</v>
      </c>
      <c r="K49" s="59" t="n">
        <f aca="false">SUM(K6:K17)</f>
        <v>1819.64</v>
      </c>
      <c r="L49" s="59" t="n">
        <f aca="false">SUM(L6:L17)</f>
        <v>2673.16</v>
      </c>
      <c r="M49" s="59" t="n">
        <f aca="false">SUM(M6:M17)</f>
        <v>138</v>
      </c>
      <c r="N49" s="59" t="n">
        <f aca="false">SUM(N6:N17)</f>
        <v>2535.16</v>
      </c>
      <c r="O49" s="59" t="n">
        <f aca="false">O17</f>
        <v>2535.16</v>
      </c>
    </row>
    <row r="50" customFormat="false" ht="21.75" hidden="false" customHeight="true" outlineLevel="0" collapsed="false">
      <c r="B50" s="55" t="n">
        <v>2</v>
      </c>
      <c r="C50" s="56" t="s">
        <v>203</v>
      </c>
      <c r="D50" s="57" t="n">
        <f aca="false">SUM(D20:D31)</f>
        <v>5930</v>
      </c>
      <c r="E50" s="57" t="n">
        <f aca="false">E31</f>
        <v>9182</v>
      </c>
      <c r="F50" s="57" t="n">
        <f aca="false">F31</f>
        <v>6427</v>
      </c>
      <c r="G50" s="58"/>
      <c r="H50" s="57" t="n">
        <f aca="false">H31</f>
        <v>182</v>
      </c>
      <c r="I50" s="57" t="n">
        <f aca="false">I31</f>
        <v>6245</v>
      </c>
      <c r="J50" s="59" t="n">
        <f aca="false">SUM(J20:J31)</f>
        <v>3809.28</v>
      </c>
      <c r="K50" s="59" t="n">
        <f aca="false">SUM(K20:K31)</f>
        <v>6640.24</v>
      </c>
      <c r="L50" s="59" t="n">
        <f aca="false">SUM(L20:L31)</f>
        <v>10449.52</v>
      </c>
      <c r="M50" s="59" t="n">
        <f aca="false">SUM(M20:M31)</f>
        <v>180</v>
      </c>
      <c r="N50" s="59" t="n">
        <f aca="false">SUM(N20:N31)</f>
        <v>10269.52</v>
      </c>
      <c r="O50" s="59" t="n">
        <f aca="false">O31</f>
        <v>12804.68</v>
      </c>
    </row>
    <row r="51" customFormat="false" ht="21.75" hidden="false" customHeight="true" outlineLevel="0" collapsed="false">
      <c r="B51" s="55" t="n">
        <v>3</v>
      </c>
      <c r="C51" s="56" t="s">
        <v>204</v>
      </c>
      <c r="D51" s="57" t="n">
        <f aca="false">SUM(D34:D45)</f>
        <v>10245</v>
      </c>
      <c r="E51" s="57" t="n">
        <f aca="false">E45</f>
        <v>19427</v>
      </c>
      <c r="F51" s="57" t="n">
        <f aca="false">F45</f>
        <v>13599</v>
      </c>
      <c r="G51" s="58"/>
      <c r="H51" s="57" t="n">
        <f aca="false">H45</f>
        <v>341</v>
      </c>
      <c r="I51" s="57" t="n">
        <f aca="false">I45</f>
        <v>13258</v>
      </c>
      <c r="J51" s="59" t="n">
        <f aca="false">SUM(J34:J45)</f>
        <v>8744.27</v>
      </c>
      <c r="K51" s="59" t="n">
        <f aca="false">SUM(K34:K45)</f>
        <v>12969.59</v>
      </c>
      <c r="L51" s="59" t="n">
        <f aca="false">SUM(L34:L45)</f>
        <v>21713.86</v>
      </c>
      <c r="M51" s="59" t="n">
        <f aca="false">SUM(M34:M45)</f>
        <v>360</v>
      </c>
      <c r="N51" s="59" t="n">
        <f aca="false">SUM(N34:N45)</f>
        <v>21353.86</v>
      </c>
      <c r="O51" s="59" t="n">
        <f aca="false">O45</f>
        <v>34158.54</v>
      </c>
    </row>
  </sheetData>
  <mergeCells count="6">
    <mergeCell ref="B1:O1"/>
    <mergeCell ref="B2:O2"/>
    <mergeCell ref="B4:O4"/>
    <mergeCell ref="B18:O18"/>
    <mergeCell ref="B32:O32"/>
    <mergeCell ref="B47:O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8"/>
    <col collapsed="false" customWidth="true" hidden="false" outlineLevel="0" max="6" min="6" style="0" width="36"/>
  </cols>
  <sheetData>
    <row r="1" customFormat="false" ht="31.5" hidden="false" customHeight="true" outlineLevel="0" collapsed="false">
      <c r="B1" s="1" t="s">
        <v>205</v>
      </c>
      <c r="C1" s="1"/>
      <c r="D1" s="1"/>
      <c r="E1" s="1"/>
      <c r="F1" s="1"/>
    </row>
    <row r="2" customFormat="false" ht="6" hidden="false" customHeight="true" outlineLevel="0" collapsed="false"/>
    <row r="3" customFormat="false" ht="21.75" hidden="false" customHeight="true" outlineLevel="0" collapsed="false">
      <c r="B3" s="3" t="s">
        <v>206</v>
      </c>
      <c r="C3" s="3"/>
      <c r="D3" s="3"/>
      <c r="E3" s="3"/>
      <c r="F3" s="3"/>
    </row>
    <row r="4" customFormat="false" ht="27.75" hidden="false" customHeight="true" outlineLevel="0" collapsed="false">
      <c r="B4" s="16" t="s">
        <v>207</v>
      </c>
      <c r="C4" s="16" t="s">
        <v>208</v>
      </c>
      <c r="D4" s="16" t="s">
        <v>209</v>
      </c>
      <c r="E4" s="16" t="s">
        <v>210</v>
      </c>
      <c r="F4" s="16" t="s">
        <v>211</v>
      </c>
    </row>
    <row r="5" customFormat="false" ht="18" hidden="false" customHeight="true" outlineLevel="0" collapsed="false">
      <c r="B5" s="17" t="s">
        <v>212</v>
      </c>
      <c r="C5" s="60" t="s">
        <v>213</v>
      </c>
      <c r="D5" s="60" t="s">
        <v>213</v>
      </c>
      <c r="E5" s="60" t="s">
        <v>213</v>
      </c>
      <c r="F5" s="19" t="s">
        <v>214</v>
      </c>
    </row>
    <row r="6" customFormat="false" ht="18" hidden="false" customHeight="true" outlineLevel="0" collapsed="false">
      <c r="B6" s="20" t="s">
        <v>215</v>
      </c>
      <c r="C6" s="61" t="s">
        <v>213</v>
      </c>
      <c r="D6" s="61" t="s">
        <v>213</v>
      </c>
      <c r="E6" s="61" t="s">
        <v>213</v>
      </c>
      <c r="F6" s="22" t="s">
        <v>216</v>
      </c>
    </row>
    <row r="7" customFormat="false" ht="18" hidden="false" customHeight="true" outlineLevel="0" collapsed="false">
      <c r="B7" s="17" t="s">
        <v>217</v>
      </c>
      <c r="C7" s="60" t="s">
        <v>213</v>
      </c>
      <c r="D7" s="62" t="s">
        <v>218</v>
      </c>
      <c r="E7" s="62" t="s">
        <v>218</v>
      </c>
      <c r="F7" s="19" t="s">
        <v>219</v>
      </c>
    </row>
    <row r="8" customFormat="false" ht="18" hidden="false" customHeight="true" outlineLevel="0" collapsed="false">
      <c r="B8" s="20" t="s">
        <v>220</v>
      </c>
      <c r="C8" s="63" t="s">
        <v>218</v>
      </c>
      <c r="D8" s="61" t="s">
        <v>213</v>
      </c>
      <c r="E8" s="61" t="s">
        <v>213</v>
      </c>
      <c r="F8" s="22" t="s">
        <v>221</v>
      </c>
    </row>
    <row r="9" customFormat="false" ht="18" hidden="false" customHeight="true" outlineLevel="0" collapsed="false">
      <c r="B9" s="17" t="s">
        <v>222</v>
      </c>
      <c r="C9" s="62" t="s">
        <v>218</v>
      </c>
      <c r="D9" s="60" t="s">
        <v>213</v>
      </c>
      <c r="E9" s="60" t="s">
        <v>213</v>
      </c>
      <c r="F9" s="19" t="s">
        <v>223</v>
      </c>
    </row>
    <row r="10" customFormat="false" ht="18" hidden="false" customHeight="true" outlineLevel="0" collapsed="false">
      <c r="B10" s="20" t="s">
        <v>224</v>
      </c>
      <c r="C10" s="63" t="s">
        <v>218</v>
      </c>
      <c r="D10" s="61" t="s">
        <v>213</v>
      </c>
      <c r="E10" s="61" t="s">
        <v>213</v>
      </c>
      <c r="F10" s="22" t="s">
        <v>225</v>
      </c>
    </row>
    <row r="11" customFormat="false" ht="18" hidden="false" customHeight="true" outlineLevel="0" collapsed="false">
      <c r="B11" s="17" t="s">
        <v>226</v>
      </c>
      <c r="C11" s="62" t="s">
        <v>218</v>
      </c>
      <c r="D11" s="60" t="s">
        <v>213</v>
      </c>
      <c r="E11" s="60" t="s">
        <v>213</v>
      </c>
      <c r="F11" s="19" t="s">
        <v>227</v>
      </c>
    </row>
    <row r="13" customFormat="false" ht="9.75" hidden="false" customHeight="true" outlineLevel="0" collapsed="false"/>
    <row r="14" customFormat="false" ht="21.75" hidden="false" customHeight="true" outlineLevel="0" collapsed="false">
      <c r="B14" s="3" t="s">
        <v>228</v>
      </c>
      <c r="C14" s="3"/>
      <c r="D14" s="3"/>
      <c r="E14" s="3"/>
      <c r="F14" s="3"/>
    </row>
    <row r="15" customFormat="false" ht="43.5" hidden="false" customHeight="true" outlineLevel="0" collapsed="false">
      <c r="B15" s="64" t="s">
        <v>229</v>
      </c>
      <c r="C15" s="65" t="s">
        <v>230</v>
      </c>
      <c r="D15" s="65"/>
      <c r="E15" s="65"/>
      <c r="F15" s="65"/>
    </row>
    <row r="16" customFormat="false" ht="43.5" hidden="false" customHeight="true" outlineLevel="0" collapsed="false">
      <c r="B16" s="66" t="s">
        <v>231</v>
      </c>
      <c r="C16" s="37" t="s">
        <v>232</v>
      </c>
      <c r="D16" s="37"/>
      <c r="E16" s="37"/>
      <c r="F16" s="37"/>
    </row>
    <row r="17" customFormat="false" ht="43.5" hidden="false" customHeight="true" outlineLevel="0" collapsed="false">
      <c r="B17" s="64" t="s">
        <v>233</v>
      </c>
      <c r="C17" s="65" t="s">
        <v>234</v>
      </c>
      <c r="D17" s="65"/>
      <c r="E17" s="65"/>
      <c r="F17" s="65"/>
    </row>
    <row r="18" customFormat="false" ht="43.5" hidden="false" customHeight="true" outlineLevel="0" collapsed="false">
      <c r="B18" s="66" t="s">
        <v>235</v>
      </c>
      <c r="C18" s="37" t="s">
        <v>236</v>
      </c>
      <c r="D18" s="37"/>
      <c r="E18" s="37"/>
      <c r="F18" s="37"/>
    </row>
    <row r="19" customFormat="false" ht="43.5" hidden="false" customHeight="true" outlineLevel="0" collapsed="false">
      <c r="B19" s="64" t="s">
        <v>237</v>
      </c>
      <c r="C19" s="65" t="s">
        <v>238</v>
      </c>
      <c r="D19" s="65"/>
      <c r="E19" s="65"/>
      <c r="F19" s="65"/>
    </row>
    <row r="20" customFormat="false" ht="43.5" hidden="false" customHeight="true" outlineLevel="0" collapsed="false">
      <c r="B20" s="66" t="s">
        <v>239</v>
      </c>
      <c r="C20" s="37" t="s">
        <v>240</v>
      </c>
      <c r="D20" s="37"/>
      <c r="E20" s="37"/>
      <c r="F20" s="37"/>
    </row>
    <row r="21" customFormat="false" ht="43.5" hidden="false" customHeight="true" outlineLevel="0" collapsed="false">
      <c r="B21" s="64" t="s">
        <v>241</v>
      </c>
      <c r="C21" s="65" t="s">
        <v>242</v>
      </c>
      <c r="D21" s="65"/>
      <c r="E21" s="65"/>
      <c r="F21" s="65"/>
    </row>
  </sheetData>
  <mergeCells count="10">
    <mergeCell ref="B1:F1"/>
    <mergeCell ref="B3:F3"/>
    <mergeCell ref="B14:F14"/>
    <mergeCell ref="C15:F15"/>
    <mergeCell ref="C16:F16"/>
    <mergeCell ref="C17:F17"/>
    <mergeCell ref="C18:F18"/>
    <mergeCell ref="C19:F19"/>
    <mergeCell ref="C20:F20"/>
    <mergeCell ref="C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2026-04-04T13:57:24Z</dcterms:created>
  <dc:creator>openpyxl</dc:creator>
  <dc:description/>
  <dc:language>en-US</dc:language>
  <cp:lastModifiedBy/>
  <dcterms:modified xsi:type="dcterms:W3CDTF">2026-04-04T13:57:24Z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